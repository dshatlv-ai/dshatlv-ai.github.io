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" sheetId="1" state="visible" r:id="rId1"/>
    <sheet name="Помесячно" sheetId="2" state="visible" r:id="rId2"/>
    <sheet name="Подуш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 &quot;€&quot;"/>
    <numFmt numFmtId="166" formatCode="#,##0.00 &quot;€&quot;;[Red]-#,##0.00 &quot;€&quot;"/>
    <numFmt numFmtId="167" formatCode="0.0%"/>
  </numFmts>
  <fonts count="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sz val="12"/>
    </font>
    <font>
      <name val="Arial"/>
      <i val="1"/>
      <sz val="8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6" fontId="1" fillId="3" borderId="1" applyAlignment="1" pivotButton="0" quotePrefix="0" xfId="0">
      <alignment horizontal="right" vertical="center"/>
    </xf>
    <xf numFmtId="167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/>
    </xf>
    <xf numFmtId="0" fontId="1" fillId="2" borderId="1" pivotButton="0" quotePrefix="0" xfId="0"/>
    <xf numFmtId="165" fontId="1" fillId="2" borderId="1" applyAlignment="1" pivotButton="0" quotePrefix="0" xfId="0">
      <alignment horizontal="right" vertical="center"/>
    </xf>
    <xf numFmtId="166" fontId="1" fillId="2" borderId="1" applyAlignment="1" pivotButton="0" quotePrefix="0" xfId="0">
      <alignment horizontal="right" vertical="center"/>
    </xf>
    <xf numFmtId="167" fontId="1" fillId="2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166" fontId="2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6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rial"/>
        <color rgb="FF006100"/>
        <sz val="9"/>
      </font>
      <fill>
        <patternFill patternType="solid">
          <fgColor rgb="FFC6EFCE"/>
        </patternFill>
      </fill>
    </dxf>
    <dxf>
      <font>
        <name val="Arial"/>
        <color rgb="FF1F4E79"/>
        <sz val="9"/>
      </font>
      <fill>
        <patternFill patternType="solid">
          <fgColor rgb="FFBDD7EE"/>
        </patternFill>
      </fill>
    </dxf>
    <dxf>
      <font>
        <name val="Arial"/>
        <color rgb="FF9C6500"/>
        <sz val="9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6" customWidth="1" min="3" max="3"/>
    <col width="12" customWidth="1" min="4" max="4"/>
    <col width="12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14" customWidth="1" min="13" max="13"/>
    <col width="13" customWidth="1" min="14" max="14"/>
    <col width="9" customWidth="1" min="15" max="15"/>
    <col width="12" customWidth="1" min="16" max="16"/>
  </cols>
  <sheetData>
    <row r="1" ht="42" customHeight="1">
      <c r="A1" s="1" t="inlineStr">
        <is>
          <t>Название объекта</t>
        </is>
      </c>
      <c r="B1" s="1" t="inlineStr">
        <is>
          <t>Адрес</t>
        </is>
      </c>
      <c r="C1" s="1" t="inlineStr">
        <is>
          <t>Заказчик</t>
        </is>
      </c>
      <c r="D1" s="1" t="inlineStr">
        <is>
          <t>Дата начала</t>
        </is>
      </c>
      <c r="E1" s="1" t="inlineStr">
        <is>
          <t>Дата сдачи</t>
        </is>
      </c>
      <c r="F1" s="1" t="inlineStr">
        <is>
          <t>Цена для клиента, €</t>
        </is>
      </c>
      <c r="G1" s="1" t="inlineStr">
        <is>
          <t>Аванс получен, €</t>
        </is>
      </c>
      <c r="H1" s="1" t="inlineStr">
        <is>
          <t>Остаток получен, €</t>
        </is>
      </c>
      <c r="I1" s="1" t="inlineStr">
        <is>
          <t>Расходы: материалы, €</t>
        </is>
      </c>
      <c r="J1" s="1" t="inlineStr">
        <is>
          <t>Расходы: бригада, €</t>
        </is>
      </c>
      <c r="K1" s="1" t="inlineStr">
        <is>
          <t>Расходы: утилизация / аренда, €</t>
        </is>
      </c>
      <c r="L1" s="1" t="inlineStr">
        <is>
          <t>Прочие расходы (инструмент и пр.), €</t>
        </is>
      </c>
      <c r="M1" s="1" t="inlineStr">
        <is>
          <t>Себестоимость, €</t>
        </is>
      </c>
      <c r="N1" s="1" t="inlineStr">
        <is>
          <t>Прибыль, €</t>
        </is>
      </c>
      <c r="O1" s="1" t="inlineStr">
        <is>
          <t>Маржа %</t>
        </is>
      </c>
      <c r="P1" s="1" t="inlineStr">
        <is>
          <t>Статус</t>
        </is>
      </c>
    </row>
    <row r="2" ht="16" customHeight="1">
      <c r="A2" s="2" t="inlineStr">
        <is>
          <t>Vārnu iela 8 — коридоры</t>
        </is>
      </c>
      <c r="B2" s="2" t="inlineStr">
        <is>
          <t>Vārnu iela 8, Rīga</t>
        </is>
      </c>
      <c r="C2" s="2" t="inlineStr">
        <is>
          <t>DzīB "Vārnu iela 8, 8A, 8B, 8C"</t>
        </is>
      </c>
      <c r="D2" s="3" t="n"/>
      <c r="E2" s="3" t="n">
        <v>46211</v>
      </c>
      <c r="F2" s="4" t="n">
        <v>2801</v>
      </c>
      <c r="G2" s="4" t="n">
        <v>1120.4</v>
      </c>
      <c r="H2" s="4" t="n">
        <v>1680.6</v>
      </c>
      <c r="I2" s="4" t="n">
        <v>800</v>
      </c>
      <c r="J2" s="4" t="n">
        <v>400</v>
      </c>
      <c r="K2" s="4" t="n">
        <v>0</v>
      </c>
      <c r="L2" s="4" t="n">
        <v>200</v>
      </c>
      <c r="M2" s="5">
        <f>IF(COUNT(I2:L2)=0,"",SUM(I2:L2))</f>
        <v/>
      </c>
      <c r="N2" s="6">
        <f>IF(F2="","",F2-SUM(I2:L2))</f>
        <v/>
      </c>
      <c r="O2" s="7">
        <f>IF(OR(F2="",F2=0),"",(F2-SUM(I2:L2))/F2)</f>
        <v/>
      </c>
      <c r="P2" s="8" t="inlineStr">
        <is>
          <t>оплачен</t>
        </is>
      </c>
    </row>
    <row r="3" ht="16" customHeight="1">
      <c r="A3" s="2" t="n"/>
      <c r="B3" s="2" t="n"/>
      <c r="C3" s="2" t="n"/>
      <c r="D3" s="3" t="n"/>
      <c r="E3" s="3" t="n"/>
      <c r="F3" s="4" t="n"/>
      <c r="G3" s="4" t="n"/>
      <c r="H3" s="4" t="n"/>
      <c r="I3" s="4" t="n"/>
      <c r="J3" s="4" t="n"/>
      <c r="K3" s="4" t="n"/>
      <c r="L3" s="4" t="n"/>
      <c r="M3" s="5">
        <f>IF(COUNT(I3:L3)=0,"",SUM(I3:L3))</f>
        <v/>
      </c>
      <c r="N3" s="6">
        <f>IF(F3="","",F3-SUM(I3:L3))</f>
        <v/>
      </c>
      <c r="O3" s="7">
        <f>IF(OR(F3="",F3=0),"",(F3-SUM(I3:L3))/F3)</f>
        <v/>
      </c>
      <c r="P3" s="8" t="n"/>
    </row>
    <row r="4" ht="16" customHeight="1">
      <c r="A4" s="2" t="n"/>
      <c r="B4" s="2" t="n"/>
      <c r="C4" s="2" t="n"/>
      <c r="D4" s="3" t="n"/>
      <c r="E4" s="3" t="n"/>
      <c r="F4" s="4" t="n"/>
      <c r="G4" s="4" t="n"/>
      <c r="H4" s="4" t="n"/>
      <c r="I4" s="4" t="n"/>
      <c r="J4" s="4" t="n"/>
      <c r="K4" s="4" t="n"/>
      <c r="L4" s="4" t="n"/>
      <c r="M4" s="5">
        <f>IF(COUNT(I4:L4)=0,"",SUM(I4:L4))</f>
        <v/>
      </c>
      <c r="N4" s="6">
        <f>IF(F4="","",F4-SUM(I4:L4))</f>
        <v/>
      </c>
      <c r="O4" s="7">
        <f>IF(OR(F4="",F4=0),"",(F4-SUM(I4:L4))/F4)</f>
        <v/>
      </c>
      <c r="P4" s="8" t="n"/>
    </row>
    <row r="5" ht="16" customHeight="1">
      <c r="A5" s="2" t="n"/>
      <c r="B5" s="2" t="n"/>
      <c r="C5" s="2" t="n"/>
      <c r="D5" s="3" t="n"/>
      <c r="E5" s="3" t="n"/>
      <c r="F5" s="4" t="n"/>
      <c r="G5" s="4" t="n"/>
      <c r="H5" s="4" t="n"/>
      <c r="I5" s="4" t="n"/>
      <c r="J5" s="4" t="n"/>
      <c r="K5" s="4" t="n"/>
      <c r="L5" s="4" t="n"/>
      <c r="M5" s="5">
        <f>IF(COUNT(I5:L5)=0,"",SUM(I5:L5))</f>
        <v/>
      </c>
      <c r="N5" s="6">
        <f>IF(F5="","",F5-SUM(I5:L5))</f>
        <v/>
      </c>
      <c r="O5" s="7">
        <f>IF(OR(F5="",F5=0),"",(F5-SUM(I5:L5))/F5)</f>
        <v/>
      </c>
      <c r="P5" s="8" t="n"/>
    </row>
    <row r="6" ht="16" customHeight="1">
      <c r="A6" s="2" t="n"/>
      <c r="B6" s="2" t="n"/>
      <c r="C6" s="2" t="n"/>
      <c r="D6" s="3" t="n"/>
      <c r="E6" s="3" t="n"/>
      <c r="F6" s="4" t="n"/>
      <c r="G6" s="4" t="n"/>
      <c r="H6" s="4" t="n"/>
      <c r="I6" s="4" t="n"/>
      <c r="J6" s="4" t="n"/>
      <c r="K6" s="4" t="n"/>
      <c r="L6" s="4" t="n"/>
      <c r="M6" s="5">
        <f>IF(COUNT(I6:L6)=0,"",SUM(I6:L6))</f>
        <v/>
      </c>
      <c r="N6" s="6">
        <f>IF(F6="","",F6-SUM(I6:L6))</f>
        <v/>
      </c>
      <c r="O6" s="7">
        <f>IF(OR(F6="",F6=0),"",(F6-SUM(I6:L6))/F6)</f>
        <v/>
      </c>
      <c r="P6" s="8" t="n"/>
    </row>
    <row r="7" ht="16" customHeight="1">
      <c r="A7" s="2" t="n"/>
      <c r="B7" s="2" t="n"/>
      <c r="C7" s="2" t="n"/>
      <c r="D7" s="3" t="n"/>
      <c r="E7" s="3" t="n"/>
      <c r="F7" s="4" t="n"/>
      <c r="G7" s="4" t="n"/>
      <c r="H7" s="4" t="n"/>
      <c r="I7" s="4" t="n"/>
      <c r="J7" s="4" t="n"/>
      <c r="K7" s="4" t="n"/>
      <c r="L7" s="4" t="n"/>
      <c r="M7" s="5">
        <f>IF(COUNT(I7:L7)=0,"",SUM(I7:L7))</f>
        <v/>
      </c>
      <c r="N7" s="6">
        <f>IF(F7="","",F7-SUM(I7:L7))</f>
        <v/>
      </c>
      <c r="O7" s="7">
        <f>IF(OR(F7="",F7=0),"",(F7-SUM(I7:L7))/F7)</f>
        <v/>
      </c>
      <c r="P7" s="8" t="n"/>
    </row>
    <row r="8" ht="16" customHeight="1">
      <c r="A8" s="2" t="n"/>
      <c r="B8" s="2" t="n"/>
      <c r="C8" s="2" t="n"/>
      <c r="D8" s="3" t="n"/>
      <c r="E8" s="3" t="n"/>
      <c r="F8" s="4" t="n"/>
      <c r="G8" s="4" t="n"/>
      <c r="H8" s="4" t="n"/>
      <c r="I8" s="4" t="n"/>
      <c r="J8" s="4" t="n"/>
      <c r="K8" s="4" t="n"/>
      <c r="L8" s="4" t="n"/>
      <c r="M8" s="5">
        <f>IF(COUNT(I8:L8)=0,"",SUM(I8:L8))</f>
        <v/>
      </c>
      <c r="N8" s="6">
        <f>IF(F8="","",F8-SUM(I8:L8))</f>
        <v/>
      </c>
      <c r="O8" s="7">
        <f>IF(OR(F8="",F8=0),"",(F8-SUM(I8:L8))/F8)</f>
        <v/>
      </c>
      <c r="P8" s="8" t="n"/>
    </row>
    <row r="9" ht="16" customHeight="1">
      <c r="A9" s="2" t="n"/>
      <c r="B9" s="2" t="n"/>
      <c r="C9" s="2" t="n"/>
      <c r="D9" s="3" t="n"/>
      <c r="E9" s="3" t="n"/>
      <c r="F9" s="4" t="n"/>
      <c r="G9" s="4" t="n"/>
      <c r="H9" s="4" t="n"/>
      <c r="I9" s="4" t="n"/>
      <c r="J9" s="4" t="n"/>
      <c r="K9" s="4" t="n"/>
      <c r="L9" s="4" t="n"/>
      <c r="M9" s="5">
        <f>IF(COUNT(I9:L9)=0,"",SUM(I9:L9))</f>
        <v/>
      </c>
      <c r="N9" s="6">
        <f>IF(F9="","",F9-SUM(I9:L9))</f>
        <v/>
      </c>
      <c r="O9" s="7">
        <f>IF(OR(F9="",F9=0),"",(F9-SUM(I9:L9))/F9)</f>
        <v/>
      </c>
      <c r="P9" s="8" t="n"/>
    </row>
    <row r="10" ht="16" customHeight="1">
      <c r="A10" s="2" t="n"/>
      <c r="B10" s="2" t="n"/>
      <c r="C10" s="2" t="n"/>
      <c r="D10" s="3" t="n"/>
      <c r="E10" s="3" t="n"/>
      <c r="F10" s="4" t="n"/>
      <c r="G10" s="4" t="n"/>
      <c r="H10" s="4" t="n"/>
      <c r="I10" s="4" t="n"/>
      <c r="J10" s="4" t="n"/>
      <c r="K10" s="4" t="n"/>
      <c r="L10" s="4" t="n"/>
      <c r="M10" s="5">
        <f>IF(COUNT(I10:L10)=0,"",SUM(I10:L10))</f>
        <v/>
      </c>
      <c r="N10" s="6">
        <f>IF(F10="","",F10-SUM(I10:L10))</f>
        <v/>
      </c>
      <c r="O10" s="7">
        <f>IF(OR(F10="",F10=0),"",(F10-SUM(I10:L10))/F10)</f>
        <v/>
      </c>
      <c r="P10" s="8" t="n"/>
    </row>
    <row r="11" ht="16" customHeight="1">
      <c r="A11" s="2" t="n"/>
      <c r="B11" s="2" t="n"/>
      <c r="C11" s="2" t="n"/>
      <c r="D11" s="3" t="n"/>
      <c r="E11" s="3" t="n"/>
      <c r="F11" s="4" t="n"/>
      <c r="G11" s="4" t="n"/>
      <c r="H11" s="4" t="n"/>
      <c r="I11" s="4" t="n"/>
      <c r="J11" s="4" t="n"/>
      <c r="K11" s="4" t="n"/>
      <c r="L11" s="4" t="n"/>
      <c r="M11" s="5">
        <f>IF(COUNT(I11:L11)=0,"",SUM(I11:L11))</f>
        <v/>
      </c>
      <c r="N11" s="6">
        <f>IF(F11="","",F11-SUM(I11:L11))</f>
        <v/>
      </c>
      <c r="O11" s="7">
        <f>IF(OR(F11="",F11=0),"",(F11-SUM(I11:L11))/F11)</f>
        <v/>
      </c>
      <c r="P11" s="8" t="n"/>
    </row>
    <row r="12" ht="16" customHeight="1">
      <c r="A12" s="2" t="n"/>
      <c r="B12" s="2" t="n"/>
      <c r="C12" s="2" t="n"/>
      <c r="D12" s="3" t="n"/>
      <c r="E12" s="3" t="n"/>
      <c r="F12" s="4" t="n"/>
      <c r="G12" s="4" t="n"/>
      <c r="H12" s="4" t="n"/>
      <c r="I12" s="4" t="n"/>
      <c r="J12" s="4" t="n"/>
      <c r="K12" s="4" t="n"/>
      <c r="L12" s="4" t="n"/>
      <c r="M12" s="5">
        <f>IF(COUNT(I12:L12)=0,"",SUM(I12:L12))</f>
        <v/>
      </c>
      <c r="N12" s="6">
        <f>IF(F12="","",F12-SUM(I12:L12))</f>
        <v/>
      </c>
      <c r="O12" s="7">
        <f>IF(OR(F12="",F12=0),"",(F12-SUM(I12:L12))/F12)</f>
        <v/>
      </c>
      <c r="P12" s="8" t="n"/>
    </row>
    <row r="13" ht="16" customHeight="1">
      <c r="A13" s="2" t="n"/>
      <c r="B13" s="2" t="n"/>
      <c r="C13" s="2" t="n"/>
      <c r="D13" s="3" t="n"/>
      <c r="E13" s="3" t="n"/>
      <c r="F13" s="4" t="n"/>
      <c r="G13" s="4" t="n"/>
      <c r="H13" s="4" t="n"/>
      <c r="I13" s="4" t="n"/>
      <c r="J13" s="4" t="n"/>
      <c r="K13" s="4" t="n"/>
      <c r="L13" s="4" t="n"/>
      <c r="M13" s="5">
        <f>IF(COUNT(I13:L13)=0,"",SUM(I13:L13))</f>
        <v/>
      </c>
      <c r="N13" s="6">
        <f>IF(F13="","",F13-SUM(I13:L13))</f>
        <v/>
      </c>
      <c r="O13" s="7">
        <f>IF(OR(F13="",F13=0),"",(F13-SUM(I13:L13))/F13)</f>
        <v/>
      </c>
      <c r="P13" s="8" t="n"/>
    </row>
    <row r="14" ht="16" customHeight="1">
      <c r="A14" s="2" t="n"/>
      <c r="B14" s="2" t="n"/>
      <c r="C14" s="2" t="n"/>
      <c r="D14" s="3" t="n"/>
      <c r="E14" s="3" t="n"/>
      <c r="F14" s="4" t="n"/>
      <c r="G14" s="4" t="n"/>
      <c r="H14" s="4" t="n"/>
      <c r="I14" s="4" t="n"/>
      <c r="J14" s="4" t="n"/>
      <c r="K14" s="4" t="n"/>
      <c r="L14" s="4" t="n"/>
      <c r="M14" s="5">
        <f>IF(COUNT(I14:L14)=0,"",SUM(I14:L14))</f>
        <v/>
      </c>
      <c r="N14" s="6">
        <f>IF(F14="","",F14-SUM(I14:L14))</f>
        <v/>
      </c>
      <c r="O14" s="7">
        <f>IF(OR(F14="",F14=0),"",(F14-SUM(I14:L14))/F14)</f>
        <v/>
      </c>
      <c r="P14" s="8" t="n"/>
    </row>
    <row r="15" ht="16" customHeight="1">
      <c r="A15" s="2" t="n"/>
      <c r="B15" s="2" t="n"/>
      <c r="C15" s="2" t="n"/>
      <c r="D15" s="3" t="n"/>
      <c r="E15" s="3" t="n"/>
      <c r="F15" s="4" t="n"/>
      <c r="G15" s="4" t="n"/>
      <c r="H15" s="4" t="n"/>
      <c r="I15" s="4" t="n"/>
      <c r="J15" s="4" t="n"/>
      <c r="K15" s="4" t="n"/>
      <c r="L15" s="4" t="n"/>
      <c r="M15" s="5">
        <f>IF(COUNT(I15:L15)=0,"",SUM(I15:L15))</f>
        <v/>
      </c>
      <c r="N15" s="6">
        <f>IF(F15="","",F15-SUM(I15:L15))</f>
        <v/>
      </c>
      <c r="O15" s="7">
        <f>IF(OR(F15="",F15=0),"",(F15-SUM(I15:L15))/F15)</f>
        <v/>
      </c>
      <c r="P15" s="8" t="n"/>
    </row>
    <row r="16" ht="16" customHeight="1">
      <c r="A16" s="2" t="n"/>
      <c r="B16" s="2" t="n"/>
      <c r="C16" s="2" t="n"/>
      <c r="D16" s="3" t="n"/>
      <c r="E16" s="3" t="n"/>
      <c r="F16" s="4" t="n"/>
      <c r="G16" s="4" t="n"/>
      <c r="H16" s="4" t="n"/>
      <c r="I16" s="4" t="n"/>
      <c r="J16" s="4" t="n"/>
      <c r="K16" s="4" t="n"/>
      <c r="L16" s="4" t="n"/>
      <c r="M16" s="5">
        <f>IF(COUNT(I16:L16)=0,"",SUM(I16:L16))</f>
        <v/>
      </c>
      <c r="N16" s="6">
        <f>IF(F16="","",F16-SUM(I16:L16))</f>
        <v/>
      </c>
      <c r="O16" s="7">
        <f>IF(OR(F16="",F16=0),"",(F16-SUM(I16:L16))/F16)</f>
        <v/>
      </c>
      <c r="P16" s="8" t="n"/>
    </row>
    <row r="17" ht="16" customHeight="1">
      <c r="A17" s="2" t="n"/>
      <c r="B17" s="2" t="n"/>
      <c r="C17" s="2" t="n"/>
      <c r="D17" s="3" t="n"/>
      <c r="E17" s="3" t="n"/>
      <c r="F17" s="4" t="n"/>
      <c r="G17" s="4" t="n"/>
      <c r="H17" s="4" t="n"/>
      <c r="I17" s="4" t="n"/>
      <c r="J17" s="4" t="n"/>
      <c r="K17" s="4" t="n"/>
      <c r="L17" s="4" t="n"/>
      <c r="M17" s="5">
        <f>IF(COUNT(I17:L17)=0,"",SUM(I17:L17))</f>
        <v/>
      </c>
      <c r="N17" s="6">
        <f>IF(F17="","",F17-SUM(I17:L17))</f>
        <v/>
      </c>
      <c r="O17" s="7">
        <f>IF(OR(F17="",F17=0),"",(F17-SUM(I17:L17))/F17)</f>
        <v/>
      </c>
      <c r="P17" s="8" t="n"/>
    </row>
    <row r="18" ht="16" customHeight="1">
      <c r="A18" s="2" t="n"/>
      <c r="B18" s="2" t="n"/>
      <c r="C18" s="2" t="n"/>
      <c r="D18" s="3" t="n"/>
      <c r="E18" s="3" t="n"/>
      <c r="F18" s="4" t="n"/>
      <c r="G18" s="4" t="n"/>
      <c r="H18" s="4" t="n"/>
      <c r="I18" s="4" t="n"/>
      <c r="J18" s="4" t="n"/>
      <c r="K18" s="4" t="n"/>
      <c r="L18" s="4" t="n"/>
      <c r="M18" s="5">
        <f>IF(COUNT(I18:L18)=0,"",SUM(I18:L18))</f>
        <v/>
      </c>
      <c r="N18" s="6">
        <f>IF(F18="","",F18-SUM(I18:L18))</f>
        <v/>
      </c>
      <c r="O18" s="7">
        <f>IF(OR(F18="",F18=0),"",(F18-SUM(I18:L18))/F18)</f>
        <v/>
      </c>
      <c r="P18" s="8" t="n"/>
    </row>
    <row r="19" ht="16" customHeight="1">
      <c r="A19" s="2" t="n"/>
      <c r="B19" s="2" t="n"/>
      <c r="C19" s="2" t="n"/>
      <c r="D19" s="3" t="n"/>
      <c r="E19" s="3" t="n"/>
      <c r="F19" s="4" t="n"/>
      <c r="G19" s="4" t="n"/>
      <c r="H19" s="4" t="n"/>
      <c r="I19" s="4" t="n"/>
      <c r="J19" s="4" t="n"/>
      <c r="K19" s="4" t="n"/>
      <c r="L19" s="4" t="n"/>
      <c r="M19" s="5">
        <f>IF(COUNT(I19:L19)=0,"",SUM(I19:L19))</f>
        <v/>
      </c>
      <c r="N19" s="6">
        <f>IF(F19="","",F19-SUM(I19:L19))</f>
        <v/>
      </c>
      <c r="O19" s="7">
        <f>IF(OR(F19="",F19=0),"",(F19-SUM(I19:L19))/F19)</f>
        <v/>
      </c>
      <c r="P19" s="8" t="n"/>
    </row>
    <row r="20" ht="16" customHeight="1">
      <c r="A20" s="2" t="n"/>
      <c r="B20" s="2" t="n"/>
      <c r="C20" s="2" t="n"/>
      <c r="D20" s="3" t="n"/>
      <c r="E20" s="3" t="n"/>
      <c r="F20" s="4" t="n"/>
      <c r="G20" s="4" t="n"/>
      <c r="H20" s="4" t="n"/>
      <c r="I20" s="4" t="n"/>
      <c r="J20" s="4" t="n"/>
      <c r="K20" s="4" t="n"/>
      <c r="L20" s="4" t="n"/>
      <c r="M20" s="5">
        <f>IF(COUNT(I20:L20)=0,"",SUM(I20:L20))</f>
        <v/>
      </c>
      <c r="N20" s="6">
        <f>IF(F20="","",F20-SUM(I20:L20))</f>
        <v/>
      </c>
      <c r="O20" s="7">
        <f>IF(OR(F20="",F20=0),"",(F20-SUM(I20:L20))/F20)</f>
        <v/>
      </c>
      <c r="P20" s="8" t="n"/>
    </row>
    <row r="21" ht="16" customHeight="1">
      <c r="A21" s="2" t="n"/>
      <c r="B21" s="2" t="n"/>
      <c r="C21" s="2" t="n"/>
      <c r="D21" s="3" t="n"/>
      <c r="E21" s="3" t="n"/>
      <c r="F21" s="4" t="n"/>
      <c r="G21" s="4" t="n"/>
      <c r="H21" s="4" t="n"/>
      <c r="I21" s="4" t="n"/>
      <c r="J21" s="4" t="n"/>
      <c r="K21" s="4" t="n"/>
      <c r="L21" s="4" t="n"/>
      <c r="M21" s="5">
        <f>IF(COUNT(I21:L21)=0,"",SUM(I21:L21))</f>
        <v/>
      </c>
      <c r="N21" s="6">
        <f>IF(F21="","",F21-SUM(I21:L21))</f>
        <v/>
      </c>
      <c r="O21" s="7">
        <f>IF(OR(F21="",F21=0),"",(F21-SUM(I21:L21))/F21)</f>
        <v/>
      </c>
      <c r="P21" s="8" t="n"/>
    </row>
    <row r="22" ht="16" customHeight="1">
      <c r="A22" s="2" t="n"/>
      <c r="B22" s="2" t="n"/>
      <c r="C22" s="2" t="n"/>
      <c r="D22" s="3" t="n"/>
      <c r="E22" s="3" t="n"/>
      <c r="F22" s="4" t="n"/>
      <c r="G22" s="4" t="n"/>
      <c r="H22" s="4" t="n"/>
      <c r="I22" s="4" t="n"/>
      <c r="J22" s="4" t="n"/>
      <c r="K22" s="4" t="n"/>
      <c r="L22" s="4" t="n"/>
      <c r="M22" s="5">
        <f>IF(COUNT(I22:L22)=0,"",SUM(I22:L22))</f>
        <v/>
      </c>
      <c r="N22" s="6">
        <f>IF(F22="","",F22-SUM(I22:L22))</f>
        <v/>
      </c>
      <c r="O22" s="7">
        <f>IF(OR(F22="",F22=0),"",(F22-SUM(I22:L22))/F22)</f>
        <v/>
      </c>
      <c r="P22" s="8" t="n"/>
    </row>
    <row r="23" ht="16" customHeight="1">
      <c r="A23" s="2" t="n"/>
      <c r="B23" s="2" t="n"/>
      <c r="C23" s="2" t="n"/>
      <c r="D23" s="3" t="n"/>
      <c r="E23" s="3" t="n"/>
      <c r="F23" s="4" t="n"/>
      <c r="G23" s="4" t="n"/>
      <c r="H23" s="4" t="n"/>
      <c r="I23" s="4" t="n"/>
      <c r="J23" s="4" t="n"/>
      <c r="K23" s="4" t="n"/>
      <c r="L23" s="4" t="n"/>
      <c r="M23" s="5">
        <f>IF(COUNT(I23:L23)=0,"",SUM(I23:L23))</f>
        <v/>
      </c>
      <c r="N23" s="6">
        <f>IF(F23="","",F23-SUM(I23:L23))</f>
        <v/>
      </c>
      <c r="O23" s="7">
        <f>IF(OR(F23="",F23=0),"",(F23-SUM(I23:L23))/F23)</f>
        <v/>
      </c>
      <c r="P23" s="8" t="n"/>
    </row>
    <row r="24" ht="16" customHeight="1">
      <c r="A24" s="2" t="n"/>
      <c r="B24" s="2" t="n"/>
      <c r="C24" s="2" t="n"/>
      <c r="D24" s="3" t="n"/>
      <c r="E24" s="3" t="n"/>
      <c r="F24" s="4" t="n"/>
      <c r="G24" s="4" t="n"/>
      <c r="H24" s="4" t="n"/>
      <c r="I24" s="4" t="n"/>
      <c r="J24" s="4" t="n"/>
      <c r="K24" s="4" t="n"/>
      <c r="L24" s="4" t="n"/>
      <c r="M24" s="5">
        <f>IF(COUNT(I24:L24)=0,"",SUM(I24:L24))</f>
        <v/>
      </c>
      <c r="N24" s="6">
        <f>IF(F24="","",F24-SUM(I24:L24))</f>
        <v/>
      </c>
      <c r="O24" s="7">
        <f>IF(OR(F24="",F24=0),"",(F24-SUM(I24:L24))/F24)</f>
        <v/>
      </c>
      <c r="P24" s="8" t="n"/>
    </row>
    <row r="25" ht="16" customHeight="1">
      <c r="A25" s="2" t="n"/>
      <c r="B25" s="2" t="n"/>
      <c r="C25" s="2" t="n"/>
      <c r="D25" s="3" t="n"/>
      <c r="E25" s="3" t="n"/>
      <c r="F25" s="4" t="n"/>
      <c r="G25" s="4" t="n"/>
      <c r="H25" s="4" t="n"/>
      <c r="I25" s="4" t="n"/>
      <c r="J25" s="4" t="n"/>
      <c r="K25" s="4" t="n"/>
      <c r="L25" s="4" t="n"/>
      <c r="M25" s="5">
        <f>IF(COUNT(I25:L25)=0,"",SUM(I25:L25))</f>
        <v/>
      </c>
      <c r="N25" s="6">
        <f>IF(F25="","",F25-SUM(I25:L25))</f>
        <v/>
      </c>
      <c r="O25" s="7">
        <f>IF(OR(F25="",F25=0),"",(F25-SUM(I25:L25))/F25)</f>
        <v/>
      </c>
      <c r="P25" s="8" t="n"/>
    </row>
    <row r="26" ht="16" customHeight="1">
      <c r="A26" s="2" t="n"/>
      <c r="B26" s="2" t="n"/>
      <c r="C26" s="2" t="n"/>
      <c r="D26" s="3" t="n"/>
      <c r="E26" s="3" t="n"/>
      <c r="F26" s="4" t="n"/>
      <c r="G26" s="4" t="n"/>
      <c r="H26" s="4" t="n"/>
      <c r="I26" s="4" t="n"/>
      <c r="J26" s="4" t="n"/>
      <c r="K26" s="4" t="n"/>
      <c r="L26" s="4" t="n"/>
      <c r="M26" s="5">
        <f>IF(COUNT(I26:L26)=0,"",SUM(I26:L26))</f>
        <v/>
      </c>
      <c r="N26" s="6">
        <f>IF(F26="","",F26-SUM(I26:L26))</f>
        <v/>
      </c>
      <c r="O26" s="7">
        <f>IF(OR(F26="",F26=0),"",(F26-SUM(I26:L26))/F26)</f>
        <v/>
      </c>
      <c r="P26" s="8" t="n"/>
    </row>
    <row r="27" ht="16" customHeight="1">
      <c r="A27" s="2" t="n"/>
      <c r="B27" s="2" t="n"/>
      <c r="C27" s="2" t="n"/>
      <c r="D27" s="3" t="n"/>
      <c r="E27" s="3" t="n"/>
      <c r="F27" s="4" t="n"/>
      <c r="G27" s="4" t="n"/>
      <c r="H27" s="4" t="n"/>
      <c r="I27" s="4" t="n"/>
      <c r="J27" s="4" t="n"/>
      <c r="K27" s="4" t="n"/>
      <c r="L27" s="4" t="n"/>
      <c r="M27" s="5">
        <f>IF(COUNT(I27:L27)=0,"",SUM(I27:L27))</f>
        <v/>
      </c>
      <c r="N27" s="6">
        <f>IF(F27="","",F27-SUM(I27:L27))</f>
        <v/>
      </c>
      <c r="O27" s="7">
        <f>IF(OR(F27="",F27=0),"",(F27-SUM(I27:L27))/F27)</f>
        <v/>
      </c>
      <c r="P27" s="8" t="n"/>
    </row>
    <row r="28" ht="16" customHeight="1">
      <c r="A28" s="2" t="n"/>
      <c r="B28" s="2" t="n"/>
      <c r="C28" s="2" t="n"/>
      <c r="D28" s="3" t="n"/>
      <c r="E28" s="3" t="n"/>
      <c r="F28" s="4" t="n"/>
      <c r="G28" s="4" t="n"/>
      <c r="H28" s="4" t="n"/>
      <c r="I28" s="4" t="n"/>
      <c r="J28" s="4" t="n"/>
      <c r="K28" s="4" t="n"/>
      <c r="L28" s="4" t="n"/>
      <c r="M28" s="5">
        <f>IF(COUNT(I28:L28)=0,"",SUM(I28:L28))</f>
        <v/>
      </c>
      <c r="N28" s="6">
        <f>IF(F28="","",F28-SUM(I28:L28))</f>
        <v/>
      </c>
      <c r="O28" s="7">
        <f>IF(OR(F28="",F28=0),"",(F28-SUM(I28:L28))/F28)</f>
        <v/>
      </c>
      <c r="P28" s="8" t="n"/>
    </row>
    <row r="29" ht="16" customHeight="1">
      <c r="A29" s="2" t="n"/>
      <c r="B29" s="2" t="n"/>
      <c r="C29" s="2" t="n"/>
      <c r="D29" s="3" t="n"/>
      <c r="E29" s="3" t="n"/>
      <c r="F29" s="4" t="n"/>
      <c r="G29" s="4" t="n"/>
      <c r="H29" s="4" t="n"/>
      <c r="I29" s="4" t="n"/>
      <c r="J29" s="4" t="n"/>
      <c r="K29" s="4" t="n"/>
      <c r="L29" s="4" t="n"/>
      <c r="M29" s="5">
        <f>IF(COUNT(I29:L29)=0,"",SUM(I29:L29))</f>
        <v/>
      </c>
      <c r="N29" s="6">
        <f>IF(F29="","",F29-SUM(I29:L29))</f>
        <v/>
      </c>
      <c r="O29" s="7">
        <f>IF(OR(F29="",F29=0),"",(F29-SUM(I29:L29))/F29)</f>
        <v/>
      </c>
      <c r="P29" s="8" t="n"/>
    </row>
    <row r="30" ht="16" customHeight="1">
      <c r="A30" s="2" t="n"/>
      <c r="B30" s="2" t="n"/>
      <c r="C30" s="2" t="n"/>
      <c r="D30" s="3" t="n"/>
      <c r="E30" s="3" t="n"/>
      <c r="F30" s="4" t="n"/>
      <c r="G30" s="4" t="n"/>
      <c r="H30" s="4" t="n"/>
      <c r="I30" s="4" t="n"/>
      <c r="J30" s="4" t="n"/>
      <c r="K30" s="4" t="n"/>
      <c r="L30" s="4" t="n"/>
      <c r="M30" s="5">
        <f>IF(COUNT(I30:L30)=0,"",SUM(I30:L30))</f>
        <v/>
      </c>
      <c r="N30" s="6">
        <f>IF(F30="","",F30-SUM(I30:L30))</f>
        <v/>
      </c>
      <c r="O30" s="7">
        <f>IF(OR(F30="",F30=0),"",(F30-SUM(I30:L30))/F30)</f>
        <v/>
      </c>
      <c r="P30" s="8" t="n"/>
    </row>
    <row r="31" ht="16" customHeight="1">
      <c r="A31" s="2" t="n"/>
      <c r="B31" s="2" t="n"/>
      <c r="C31" s="2" t="n"/>
      <c r="D31" s="3" t="n"/>
      <c r="E31" s="3" t="n"/>
      <c r="F31" s="4" t="n"/>
      <c r="G31" s="4" t="n"/>
      <c r="H31" s="4" t="n"/>
      <c r="I31" s="4" t="n"/>
      <c r="J31" s="4" t="n"/>
      <c r="K31" s="4" t="n"/>
      <c r="L31" s="4" t="n"/>
      <c r="M31" s="5">
        <f>IF(COUNT(I31:L31)=0,"",SUM(I31:L31))</f>
        <v/>
      </c>
      <c r="N31" s="6">
        <f>IF(F31="","",F31-SUM(I31:L31))</f>
        <v/>
      </c>
      <c r="O31" s="7">
        <f>IF(OR(F31="",F31=0),"",(F31-SUM(I31:L31))/F31)</f>
        <v/>
      </c>
      <c r="P31" s="8" t="n"/>
    </row>
    <row r="32" ht="18" customHeight="1">
      <c r="A32" s="9" t="inlineStr">
        <is>
          <t>ИТОГО:</t>
        </is>
      </c>
      <c r="B32" s="10" t="n"/>
      <c r="C32" s="10" t="n"/>
      <c r="D32" s="10" t="n"/>
      <c r="E32" s="10" t="n"/>
      <c r="F32" s="11">
        <f>SUM(F2:F31)</f>
        <v/>
      </c>
      <c r="G32" s="11">
        <f>SUM(G2:G31)</f>
        <v/>
      </c>
      <c r="H32" s="11">
        <f>SUM(H2:H31)</f>
        <v/>
      </c>
      <c r="I32" s="11">
        <f>SUM(I2:I31)</f>
        <v/>
      </c>
      <c r="J32" s="11">
        <f>SUM(J2:J31)</f>
        <v/>
      </c>
      <c r="K32" s="11">
        <f>SUM(K2:K31)</f>
        <v/>
      </c>
      <c r="L32" s="11">
        <f>SUM(L2:L31)</f>
        <v/>
      </c>
      <c r="M32" s="11">
        <f>SUM(M2:M31)</f>
        <v/>
      </c>
      <c r="N32" s="12">
        <f>SUM(N2:N31)</f>
        <v/>
      </c>
      <c r="O32" s="13">
        <f>IF(F32=0,"",N32/F32)</f>
        <v/>
      </c>
      <c r="P32" s="10" t="n"/>
    </row>
  </sheetData>
  <conditionalFormatting sqref="P2:P31">
    <cfRule type="cellIs" priority="1" operator="equal" dxfId="0">
      <formula>"оплачен"</formula>
    </cfRule>
    <cfRule type="cellIs" priority="2" operator="equal" dxfId="1">
      <formula>"сдан"</formula>
    </cfRule>
    <cfRule type="cellIs" priority="3" operator="equal" dxfId="2">
      <formula>"в работе"</formula>
    </cfRule>
  </conditionalFormatting>
  <dataValidations count="1">
    <dataValidation sqref="P2:P31" showDropDown="0" showInputMessage="0" showErrorMessage="0" allowBlank="1" errorTitle="Неверный статус" error="Выбери из списка: в работе / сдан / оплачен" type="list">
      <formula1>"в работе,сдан,оплачен"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4" t="inlineStr">
        <is>
          <t>Сводка по месяцам 2026</t>
        </is>
      </c>
    </row>
    <row r="2">
      <c r="A2" s="15" t="inlineStr">
        <is>
          <t>Объект попадает в месяц по дате сдачи (колонка «Дата сдачи» на листе Объекты).</t>
        </is>
      </c>
    </row>
    <row r="4" ht="18" customHeight="1">
      <c r="A4" s="1" t="inlineStr">
        <is>
          <t>Месяц</t>
        </is>
      </c>
      <c r="B4" s="1" t="inlineStr">
        <is>
          <t>Оборот, €</t>
        </is>
      </c>
      <c r="C4" s="1" t="inlineStr">
        <is>
          <t>Расходы, €</t>
        </is>
      </c>
      <c r="D4" s="1" t="inlineStr">
        <is>
          <t>Прибыль, €</t>
        </is>
      </c>
    </row>
    <row r="5" ht="16" customHeight="1">
      <c r="A5" s="2" t="inlineStr">
        <is>
          <t>Январь</t>
        </is>
      </c>
      <c r="B5" s="4">
        <f>SUMIFS(Объекты!$F$2:$F$31,Объекты!$E$2:$E$31,"&gt;="&amp;DATE(2026,1,1),Объекты!$E$2:$E$31,"&lt;"&amp;DATE(2026,2,1))</f>
        <v/>
      </c>
      <c r="C5" s="4">
        <f>SUMIFS(Объекты!$I$2:$I$31,Объекты!$E$2:$E$31,"&gt;="&amp;DATE(2026,1,1),Объекты!$E$2:$E$31,"&lt;"&amp;DATE(2026,2,1))+SUMIFS(Объекты!$J$2:$J$31,Объекты!$E$2:$E$31,"&gt;="&amp;DATE(2026,1,1),Объекты!$E$2:$E$31,"&lt;"&amp;DATE(2026,2,1))+SUMIFS(Объекты!$K$2:$K$31,Объекты!$E$2:$E$31,"&gt;="&amp;DATE(2026,1,1),Объекты!$E$2:$E$31,"&lt;"&amp;DATE(2026,2,1))+SUMIFS(Объекты!$L$2:$L$31,Объекты!$E$2:$E$31,"&gt;="&amp;DATE(2026,1,1),Объекты!$E$2:$E$31,"&lt;"&amp;DATE(2026,2,1))</f>
        <v/>
      </c>
      <c r="D5" s="16">
        <f>B5-C5</f>
        <v/>
      </c>
    </row>
    <row r="6" ht="16" customHeight="1">
      <c r="A6" s="2" t="inlineStr">
        <is>
          <t>Февраль</t>
        </is>
      </c>
      <c r="B6" s="4">
        <f>SUMIFS(Объекты!$F$2:$F$31,Объекты!$E$2:$E$31,"&gt;="&amp;DATE(2026,2,1),Объекты!$E$2:$E$31,"&lt;"&amp;DATE(2026,3,1))</f>
        <v/>
      </c>
      <c r="C6" s="4">
        <f>SUMIFS(Объекты!$I$2:$I$31,Объекты!$E$2:$E$31,"&gt;="&amp;DATE(2026,2,1),Объекты!$E$2:$E$31,"&lt;"&amp;DATE(2026,3,1))+SUMIFS(Объекты!$J$2:$J$31,Объекты!$E$2:$E$31,"&gt;="&amp;DATE(2026,2,1),Объекты!$E$2:$E$31,"&lt;"&amp;DATE(2026,3,1))+SUMIFS(Объекты!$K$2:$K$31,Объекты!$E$2:$E$31,"&gt;="&amp;DATE(2026,2,1),Объекты!$E$2:$E$31,"&lt;"&amp;DATE(2026,3,1))+SUMIFS(Объекты!$L$2:$L$31,Объекты!$E$2:$E$31,"&gt;="&amp;DATE(2026,2,1),Объекты!$E$2:$E$31,"&lt;"&amp;DATE(2026,3,1))</f>
        <v/>
      </c>
      <c r="D6" s="16">
        <f>B6-C6</f>
        <v/>
      </c>
    </row>
    <row r="7" ht="16" customHeight="1">
      <c r="A7" s="2" t="inlineStr">
        <is>
          <t>Март</t>
        </is>
      </c>
      <c r="B7" s="4">
        <f>SUMIFS(Объекты!$F$2:$F$31,Объекты!$E$2:$E$31,"&gt;="&amp;DATE(2026,3,1),Объекты!$E$2:$E$31,"&lt;"&amp;DATE(2026,4,1))</f>
        <v/>
      </c>
      <c r="C7" s="4">
        <f>SUMIFS(Объекты!$I$2:$I$31,Объекты!$E$2:$E$31,"&gt;="&amp;DATE(2026,3,1),Объекты!$E$2:$E$31,"&lt;"&amp;DATE(2026,4,1))+SUMIFS(Объекты!$J$2:$J$31,Объекты!$E$2:$E$31,"&gt;="&amp;DATE(2026,3,1),Объекты!$E$2:$E$31,"&lt;"&amp;DATE(2026,4,1))+SUMIFS(Объекты!$K$2:$K$31,Объекты!$E$2:$E$31,"&gt;="&amp;DATE(2026,3,1),Объекты!$E$2:$E$31,"&lt;"&amp;DATE(2026,4,1))+SUMIFS(Объекты!$L$2:$L$31,Объекты!$E$2:$E$31,"&gt;="&amp;DATE(2026,3,1),Объекты!$E$2:$E$31,"&lt;"&amp;DATE(2026,4,1))</f>
        <v/>
      </c>
      <c r="D7" s="16">
        <f>B7-C7</f>
        <v/>
      </c>
    </row>
    <row r="8" ht="16" customHeight="1">
      <c r="A8" s="2" t="inlineStr">
        <is>
          <t>Апрель</t>
        </is>
      </c>
      <c r="B8" s="4">
        <f>SUMIFS(Объекты!$F$2:$F$31,Объекты!$E$2:$E$31,"&gt;="&amp;DATE(2026,4,1),Объекты!$E$2:$E$31,"&lt;"&amp;DATE(2026,5,1))</f>
        <v/>
      </c>
      <c r="C8" s="4">
        <f>SUMIFS(Объекты!$I$2:$I$31,Объекты!$E$2:$E$31,"&gt;="&amp;DATE(2026,4,1),Объекты!$E$2:$E$31,"&lt;"&amp;DATE(2026,5,1))+SUMIFS(Объекты!$J$2:$J$31,Объекты!$E$2:$E$31,"&gt;="&amp;DATE(2026,4,1),Объекты!$E$2:$E$31,"&lt;"&amp;DATE(2026,5,1))+SUMIFS(Объекты!$K$2:$K$31,Объекты!$E$2:$E$31,"&gt;="&amp;DATE(2026,4,1),Объекты!$E$2:$E$31,"&lt;"&amp;DATE(2026,5,1))+SUMIFS(Объекты!$L$2:$L$31,Объекты!$E$2:$E$31,"&gt;="&amp;DATE(2026,4,1),Объекты!$E$2:$E$31,"&lt;"&amp;DATE(2026,5,1))</f>
        <v/>
      </c>
      <c r="D8" s="16">
        <f>B8-C8</f>
        <v/>
      </c>
    </row>
    <row r="9" ht="16" customHeight="1">
      <c r="A9" s="2" t="inlineStr">
        <is>
          <t>Май</t>
        </is>
      </c>
      <c r="B9" s="4">
        <f>SUMIFS(Объекты!$F$2:$F$31,Объекты!$E$2:$E$31,"&gt;="&amp;DATE(2026,5,1),Объекты!$E$2:$E$31,"&lt;"&amp;DATE(2026,6,1))</f>
        <v/>
      </c>
      <c r="C9" s="4">
        <f>SUMIFS(Объекты!$I$2:$I$31,Объекты!$E$2:$E$31,"&gt;="&amp;DATE(2026,5,1),Объекты!$E$2:$E$31,"&lt;"&amp;DATE(2026,6,1))+SUMIFS(Объекты!$J$2:$J$31,Объекты!$E$2:$E$31,"&gt;="&amp;DATE(2026,5,1),Объекты!$E$2:$E$31,"&lt;"&amp;DATE(2026,6,1))+SUMIFS(Объекты!$K$2:$K$31,Объекты!$E$2:$E$31,"&gt;="&amp;DATE(2026,5,1),Объекты!$E$2:$E$31,"&lt;"&amp;DATE(2026,6,1))+SUMIFS(Объекты!$L$2:$L$31,Объекты!$E$2:$E$31,"&gt;="&amp;DATE(2026,5,1),Объекты!$E$2:$E$31,"&lt;"&amp;DATE(2026,6,1))</f>
        <v/>
      </c>
      <c r="D9" s="16">
        <f>B9-C9</f>
        <v/>
      </c>
    </row>
    <row r="10" ht="16" customHeight="1">
      <c r="A10" s="2" t="inlineStr">
        <is>
          <t>Июнь</t>
        </is>
      </c>
      <c r="B10" s="4">
        <f>SUMIFS(Объекты!$F$2:$F$31,Объекты!$E$2:$E$31,"&gt;="&amp;DATE(2026,6,1),Объекты!$E$2:$E$31,"&lt;"&amp;DATE(2026,7,1))</f>
        <v/>
      </c>
      <c r="C10" s="4">
        <f>SUMIFS(Объекты!$I$2:$I$31,Объекты!$E$2:$E$31,"&gt;="&amp;DATE(2026,6,1),Объекты!$E$2:$E$31,"&lt;"&amp;DATE(2026,7,1))+SUMIFS(Объекты!$J$2:$J$31,Объекты!$E$2:$E$31,"&gt;="&amp;DATE(2026,6,1),Объекты!$E$2:$E$31,"&lt;"&amp;DATE(2026,7,1))+SUMIFS(Объекты!$K$2:$K$31,Объекты!$E$2:$E$31,"&gt;="&amp;DATE(2026,6,1),Объекты!$E$2:$E$31,"&lt;"&amp;DATE(2026,7,1))+SUMIFS(Объекты!$L$2:$L$31,Объекты!$E$2:$E$31,"&gt;="&amp;DATE(2026,6,1),Объекты!$E$2:$E$31,"&lt;"&amp;DATE(2026,7,1))</f>
        <v/>
      </c>
      <c r="D10" s="16">
        <f>B10-C10</f>
        <v/>
      </c>
    </row>
    <row r="11" ht="16" customHeight="1">
      <c r="A11" s="2" t="inlineStr">
        <is>
          <t>Июль</t>
        </is>
      </c>
      <c r="B11" s="4">
        <f>SUMIFS(Объекты!$F$2:$F$31,Объекты!$E$2:$E$31,"&gt;="&amp;DATE(2026,7,1),Объекты!$E$2:$E$31,"&lt;"&amp;DATE(2026,8,1))</f>
        <v/>
      </c>
      <c r="C11" s="4">
        <f>SUMIFS(Объекты!$I$2:$I$31,Объекты!$E$2:$E$31,"&gt;="&amp;DATE(2026,7,1),Объекты!$E$2:$E$31,"&lt;"&amp;DATE(2026,8,1))+SUMIFS(Объекты!$J$2:$J$31,Объекты!$E$2:$E$31,"&gt;="&amp;DATE(2026,7,1),Объекты!$E$2:$E$31,"&lt;"&amp;DATE(2026,8,1))+SUMIFS(Объекты!$K$2:$K$31,Объекты!$E$2:$E$31,"&gt;="&amp;DATE(2026,7,1),Объекты!$E$2:$E$31,"&lt;"&amp;DATE(2026,8,1))+SUMIFS(Объекты!$L$2:$L$31,Объекты!$E$2:$E$31,"&gt;="&amp;DATE(2026,7,1),Объекты!$E$2:$E$31,"&lt;"&amp;DATE(2026,8,1))</f>
        <v/>
      </c>
      <c r="D11" s="16">
        <f>B11-C11</f>
        <v/>
      </c>
    </row>
    <row r="12" ht="16" customHeight="1">
      <c r="A12" s="2" t="inlineStr">
        <is>
          <t>Август</t>
        </is>
      </c>
      <c r="B12" s="4">
        <f>SUMIFS(Объекты!$F$2:$F$31,Объекты!$E$2:$E$31,"&gt;="&amp;DATE(2026,8,1),Объекты!$E$2:$E$31,"&lt;"&amp;DATE(2026,9,1))</f>
        <v/>
      </c>
      <c r="C12" s="4">
        <f>SUMIFS(Объекты!$I$2:$I$31,Объекты!$E$2:$E$31,"&gt;="&amp;DATE(2026,8,1),Объекты!$E$2:$E$31,"&lt;"&amp;DATE(2026,9,1))+SUMIFS(Объекты!$J$2:$J$31,Объекты!$E$2:$E$31,"&gt;="&amp;DATE(2026,8,1),Объекты!$E$2:$E$31,"&lt;"&amp;DATE(2026,9,1))+SUMIFS(Объекты!$K$2:$K$31,Объекты!$E$2:$E$31,"&gt;="&amp;DATE(2026,8,1),Объекты!$E$2:$E$31,"&lt;"&amp;DATE(2026,9,1))+SUMIFS(Объекты!$L$2:$L$31,Объекты!$E$2:$E$31,"&gt;="&amp;DATE(2026,8,1),Объекты!$E$2:$E$31,"&lt;"&amp;DATE(2026,9,1))</f>
        <v/>
      </c>
      <c r="D12" s="16">
        <f>B12-C12</f>
        <v/>
      </c>
    </row>
    <row r="13" ht="16" customHeight="1">
      <c r="A13" s="2" t="inlineStr">
        <is>
          <t>Сентябрь</t>
        </is>
      </c>
      <c r="B13" s="4">
        <f>SUMIFS(Объекты!$F$2:$F$31,Объекты!$E$2:$E$31,"&gt;="&amp;DATE(2026,9,1),Объекты!$E$2:$E$31,"&lt;"&amp;DATE(2026,10,1))</f>
        <v/>
      </c>
      <c r="C13" s="4">
        <f>SUMIFS(Объекты!$I$2:$I$31,Объекты!$E$2:$E$31,"&gt;="&amp;DATE(2026,9,1),Объекты!$E$2:$E$31,"&lt;"&amp;DATE(2026,10,1))+SUMIFS(Объекты!$J$2:$J$31,Объекты!$E$2:$E$31,"&gt;="&amp;DATE(2026,9,1),Объекты!$E$2:$E$31,"&lt;"&amp;DATE(2026,10,1))+SUMIFS(Объекты!$K$2:$K$31,Объекты!$E$2:$E$31,"&gt;="&amp;DATE(2026,9,1),Объекты!$E$2:$E$31,"&lt;"&amp;DATE(2026,10,1))+SUMIFS(Объекты!$L$2:$L$31,Объекты!$E$2:$E$31,"&gt;="&amp;DATE(2026,9,1),Объекты!$E$2:$E$31,"&lt;"&amp;DATE(2026,10,1))</f>
        <v/>
      </c>
      <c r="D13" s="16">
        <f>B13-C13</f>
        <v/>
      </c>
    </row>
    <row r="14" ht="16" customHeight="1">
      <c r="A14" s="2" t="inlineStr">
        <is>
          <t>Октябрь</t>
        </is>
      </c>
      <c r="B14" s="4">
        <f>SUMIFS(Объекты!$F$2:$F$31,Объекты!$E$2:$E$31,"&gt;="&amp;DATE(2026,10,1),Объекты!$E$2:$E$31,"&lt;"&amp;DATE(2026,11,1))</f>
        <v/>
      </c>
      <c r="C14" s="4">
        <f>SUMIFS(Объекты!$I$2:$I$31,Объекты!$E$2:$E$31,"&gt;="&amp;DATE(2026,10,1),Объекты!$E$2:$E$31,"&lt;"&amp;DATE(2026,11,1))+SUMIFS(Объекты!$J$2:$J$31,Объекты!$E$2:$E$31,"&gt;="&amp;DATE(2026,10,1),Объекты!$E$2:$E$31,"&lt;"&amp;DATE(2026,11,1))+SUMIFS(Объекты!$K$2:$K$31,Объекты!$E$2:$E$31,"&gt;="&amp;DATE(2026,10,1),Объекты!$E$2:$E$31,"&lt;"&amp;DATE(2026,11,1))+SUMIFS(Объекты!$L$2:$L$31,Объекты!$E$2:$E$31,"&gt;="&amp;DATE(2026,10,1),Объекты!$E$2:$E$31,"&lt;"&amp;DATE(2026,11,1))</f>
        <v/>
      </c>
      <c r="D14" s="16">
        <f>B14-C14</f>
        <v/>
      </c>
    </row>
    <row r="15" ht="16" customHeight="1">
      <c r="A15" s="2" t="inlineStr">
        <is>
          <t>Ноябрь</t>
        </is>
      </c>
      <c r="B15" s="4">
        <f>SUMIFS(Объекты!$F$2:$F$31,Объекты!$E$2:$E$31,"&gt;="&amp;DATE(2026,11,1),Объекты!$E$2:$E$31,"&lt;"&amp;DATE(2026,12,1))</f>
        <v/>
      </c>
      <c r="C15" s="4">
        <f>SUMIFS(Объекты!$I$2:$I$31,Объекты!$E$2:$E$31,"&gt;="&amp;DATE(2026,11,1),Объекты!$E$2:$E$31,"&lt;"&amp;DATE(2026,12,1))+SUMIFS(Объекты!$J$2:$J$31,Объекты!$E$2:$E$31,"&gt;="&amp;DATE(2026,11,1),Объекты!$E$2:$E$31,"&lt;"&amp;DATE(2026,12,1))+SUMIFS(Объекты!$K$2:$K$31,Объекты!$E$2:$E$31,"&gt;="&amp;DATE(2026,11,1),Объекты!$E$2:$E$31,"&lt;"&amp;DATE(2026,12,1))+SUMIFS(Объекты!$L$2:$L$31,Объекты!$E$2:$E$31,"&gt;="&amp;DATE(2026,11,1),Объекты!$E$2:$E$31,"&lt;"&amp;DATE(2026,12,1))</f>
        <v/>
      </c>
      <c r="D15" s="16">
        <f>B15-C15</f>
        <v/>
      </c>
    </row>
    <row r="16" ht="16" customHeight="1">
      <c r="A16" s="2" t="inlineStr">
        <is>
          <t>Декабрь</t>
        </is>
      </c>
      <c r="B16" s="4">
        <f>SUMIFS(Объекты!$F$2:$F$31,Объекты!$E$2:$E$31,"&gt;="&amp;DATE(2026,12,1),Объекты!$E$2:$E$31,"&lt;"&amp;DATE(2026,13,1))</f>
        <v/>
      </c>
      <c r="C16" s="4">
        <f>SUMIFS(Объекты!$I$2:$I$31,Объекты!$E$2:$E$31,"&gt;="&amp;DATE(2026,12,1),Объекты!$E$2:$E$31,"&lt;"&amp;DATE(2026,13,1))+SUMIFS(Объекты!$J$2:$J$31,Объекты!$E$2:$E$31,"&gt;="&amp;DATE(2026,12,1),Объекты!$E$2:$E$31,"&lt;"&amp;DATE(2026,13,1))+SUMIFS(Объекты!$K$2:$K$31,Объекты!$E$2:$E$31,"&gt;="&amp;DATE(2026,12,1),Объекты!$E$2:$E$31,"&lt;"&amp;DATE(2026,13,1))+SUMIFS(Объекты!$L$2:$L$31,Объекты!$E$2:$E$31,"&gt;="&amp;DATE(2026,12,1),Объекты!$E$2:$E$31,"&lt;"&amp;DATE(2026,13,1))</f>
        <v/>
      </c>
      <c r="D16" s="16">
        <f>B16-C16</f>
        <v/>
      </c>
    </row>
    <row r="17" ht="18" customHeight="1">
      <c r="A17" s="9" t="inlineStr">
        <is>
          <t>ИТОГО 2026:</t>
        </is>
      </c>
      <c r="B17" s="11">
        <f>SUM(B5:B16)</f>
        <v/>
      </c>
      <c r="C17" s="11">
        <f>SUM(C5:C16)</f>
        <v/>
      </c>
      <c r="D17" s="12">
        <f>SUM(D5:D16)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4" customWidth="1" min="4" max="4"/>
  </cols>
  <sheetData>
    <row r="1">
      <c r="A1" s="14" t="inlineStr">
        <is>
          <t>Подушка безопасности (резерв)</t>
        </is>
      </c>
    </row>
    <row r="2">
      <c r="A2" s="15" t="inlineStr">
        <is>
          <t>Плюс — отложил в резерв, минус — взял из резерва.</t>
        </is>
      </c>
    </row>
    <row r="4">
      <c r="A4" s="17" t="inlineStr">
        <is>
          <t>Отложено сейчас:</t>
        </is>
      </c>
      <c r="B4" s="18">
        <f>SUM(B7:B106)</f>
        <v/>
      </c>
    </row>
    <row r="6" ht="18" customHeight="1">
      <c r="A6" s="1" t="inlineStr">
        <is>
          <t>Дата</t>
        </is>
      </c>
      <c r="B6" s="1" t="inlineStr">
        <is>
          <t>Сумма, € (+/−)</t>
        </is>
      </c>
      <c r="C6" s="1" t="inlineStr">
        <is>
          <t>Комментарий</t>
        </is>
      </c>
      <c r="D6" s="1" t="inlineStr">
        <is>
          <t>Остаток, €</t>
        </is>
      </c>
    </row>
    <row r="7" ht="16" customHeight="1">
      <c r="A7" s="3" t="n">
        <v>46211</v>
      </c>
      <c r="B7" s="16" t="n">
        <v>0</v>
      </c>
      <c r="C7" s="2" t="inlineStr">
        <is>
          <t>Стартовый остаток</t>
        </is>
      </c>
      <c r="D7" s="6">
        <f>IF(B7="","",SUM($B$7:B7))</f>
        <v/>
      </c>
    </row>
    <row r="8" ht="16" customHeight="1">
      <c r="A8" s="3" t="n"/>
      <c r="B8" s="16" t="n"/>
      <c r="C8" s="2" t="n"/>
      <c r="D8" s="6">
        <f>IF(B8="","",SUM($B$7:B8))</f>
        <v/>
      </c>
    </row>
    <row r="9" ht="16" customHeight="1">
      <c r="A9" s="3" t="n"/>
      <c r="B9" s="16" t="n"/>
      <c r="C9" s="2" t="n"/>
      <c r="D9" s="6">
        <f>IF(B9="","",SUM($B$7:B9))</f>
        <v/>
      </c>
    </row>
    <row r="10" ht="16" customHeight="1">
      <c r="A10" s="3" t="n"/>
      <c r="B10" s="16" t="n"/>
      <c r="C10" s="2" t="n"/>
      <c r="D10" s="6">
        <f>IF(B10="","",SUM($B$7:B10))</f>
        <v/>
      </c>
    </row>
    <row r="11" ht="16" customHeight="1">
      <c r="A11" s="3" t="n"/>
      <c r="B11" s="16" t="n"/>
      <c r="C11" s="2" t="n"/>
      <c r="D11" s="6">
        <f>IF(B11="","",SUM($B$7:B11))</f>
        <v/>
      </c>
    </row>
    <row r="12" ht="16" customHeight="1">
      <c r="A12" s="3" t="n"/>
      <c r="B12" s="16" t="n"/>
      <c r="C12" s="2" t="n"/>
      <c r="D12" s="6">
        <f>IF(B12="","",SUM($B$7:B12))</f>
        <v/>
      </c>
    </row>
    <row r="13" ht="16" customHeight="1">
      <c r="A13" s="3" t="n"/>
      <c r="B13" s="16" t="n"/>
      <c r="C13" s="2" t="n"/>
      <c r="D13" s="6">
        <f>IF(B13="","",SUM($B$7:B13))</f>
        <v/>
      </c>
    </row>
    <row r="14" ht="16" customHeight="1">
      <c r="A14" s="3" t="n"/>
      <c r="B14" s="16" t="n"/>
      <c r="C14" s="2" t="n"/>
      <c r="D14" s="6">
        <f>IF(B14="","",SUM($B$7:B14))</f>
        <v/>
      </c>
    </row>
    <row r="15" ht="16" customHeight="1">
      <c r="A15" s="3" t="n"/>
      <c r="B15" s="16" t="n"/>
      <c r="C15" s="2" t="n"/>
      <c r="D15" s="6">
        <f>IF(B15="","",SUM($B$7:B15))</f>
        <v/>
      </c>
    </row>
    <row r="16" ht="16" customHeight="1">
      <c r="A16" s="3" t="n"/>
      <c r="B16" s="16" t="n"/>
      <c r="C16" s="2" t="n"/>
      <c r="D16" s="6">
        <f>IF(B16="","",SUM($B$7:B16))</f>
        <v/>
      </c>
    </row>
    <row r="17" ht="16" customHeight="1">
      <c r="A17" s="3" t="n"/>
      <c r="B17" s="16" t="n"/>
      <c r="C17" s="2" t="n"/>
      <c r="D17" s="6">
        <f>IF(B17="","",SUM($B$7:B17))</f>
        <v/>
      </c>
    </row>
    <row r="18" ht="16" customHeight="1">
      <c r="A18" s="3" t="n"/>
      <c r="B18" s="16" t="n"/>
      <c r="C18" s="2" t="n"/>
      <c r="D18" s="6">
        <f>IF(B18="","",SUM($B$7:B18))</f>
        <v/>
      </c>
    </row>
    <row r="19" ht="16" customHeight="1">
      <c r="A19" s="3" t="n"/>
      <c r="B19" s="16" t="n"/>
      <c r="C19" s="2" t="n"/>
      <c r="D19" s="6">
        <f>IF(B19="","",SUM($B$7:B19))</f>
        <v/>
      </c>
    </row>
    <row r="20" ht="16" customHeight="1">
      <c r="A20" s="3" t="n"/>
      <c r="B20" s="16" t="n"/>
      <c r="C20" s="2" t="n"/>
      <c r="D20" s="6">
        <f>IF(B20="","",SUM($B$7:B20))</f>
        <v/>
      </c>
    </row>
    <row r="21" ht="16" customHeight="1">
      <c r="A21" s="3" t="n"/>
      <c r="B21" s="16" t="n"/>
      <c r="C21" s="2" t="n"/>
      <c r="D21" s="6">
        <f>IF(B21="","",SUM($B$7:B21))</f>
        <v/>
      </c>
    </row>
    <row r="22" ht="16" customHeight="1">
      <c r="A22" s="3" t="n"/>
      <c r="B22" s="16" t="n"/>
      <c r="C22" s="2" t="n"/>
      <c r="D22" s="6">
        <f>IF(B22="","",SUM($B$7:B22))</f>
        <v/>
      </c>
    </row>
    <row r="23" ht="16" customHeight="1">
      <c r="A23" s="3" t="n"/>
      <c r="B23" s="16" t="n"/>
      <c r="C23" s="2" t="n"/>
      <c r="D23" s="6">
        <f>IF(B23="","",SUM($B$7:B23))</f>
        <v/>
      </c>
    </row>
    <row r="24" ht="16" customHeight="1">
      <c r="A24" s="3" t="n"/>
      <c r="B24" s="16" t="n"/>
      <c r="C24" s="2" t="n"/>
      <c r="D24" s="6">
        <f>IF(B24="","",SUM($B$7:B24))</f>
        <v/>
      </c>
    </row>
    <row r="25" ht="16" customHeight="1">
      <c r="A25" s="3" t="n"/>
      <c r="B25" s="16" t="n"/>
      <c r="C25" s="2" t="n"/>
      <c r="D25" s="6">
        <f>IF(B25="","",SUM($B$7:B25))</f>
        <v/>
      </c>
    </row>
    <row r="26" ht="16" customHeight="1">
      <c r="A26" s="3" t="n"/>
      <c r="B26" s="16" t="n"/>
      <c r="C26" s="2" t="n"/>
      <c r="D26" s="6">
        <f>IF(B26="","",SUM($B$7:B26))</f>
        <v/>
      </c>
    </row>
    <row r="27" ht="16" customHeight="1">
      <c r="A27" s="3" t="n"/>
      <c r="B27" s="16" t="n"/>
      <c r="C27" s="2" t="n"/>
      <c r="D27" s="6">
        <f>IF(B27="","",SUM($B$7:B27))</f>
        <v/>
      </c>
    </row>
    <row r="28" ht="16" customHeight="1">
      <c r="A28" s="3" t="n"/>
      <c r="B28" s="16" t="n"/>
      <c r="C28" s="2" t="n"/>
      <c r="D28" s="6">
        <f>IF(B28="","",SUM($B$7:B28))</f>
        <v/>
      </c>
    </row>
    <row r="29" ht="16" customHeight="1">
      <c r="A29" s="3" t="n"/>
      <c r="B29" s="16" t="n"/>
      <c r="C29" s="2" t="n"/>
      <c r="D29" s="6">
        <f>IF(B29="","",SUM($B$7:B29))</f>
        <v/>
      </c>
    </row>
    <row r="30" ht="16" customHeight="1">
      <c r="A30" s="3" t="n"/>
      <c r="B30" s="16" t="n"/>
      <c r="C30" s="2" t="n"/>
      <c r="D30" s="6">
        <f>IF(B30="","",SUM($B$7:B30))</f>
        <v/>
      </c>
    </row>
    <row r="31" ht="16" customHeight="1">
      <c r="A31" s="3" t="n"/>
      <c r="B31" s="16" t="n"/>
      <c r="C31" s="2" t="n"/>
      <c r="D31" s="6">
        <f>IF(B31="","",SUM($B$7:B31))</f>
        <v/>
      </c>
    </row>
    <row r="32" ht="16" customHeight="1">
      <c r="A32" s="3" t="n"/>
      <c r="B32" s="16" t="n"/>
      <c r="C32" s="2" t="n"/>
      <c r="D32" s="6">
        <f>IF(B32="","",SUM($B$7:B32))</f>
        <v/>
      </c>
    </row>
    <row r="33" ht="16" customHeight="1">
      <c r="A33" s="3" t="n"/>
      <c r="B33" s="16" t="n"/>
      <c r="C33" s="2" t="n"/>
      <c r="D33" s="6">
        <f>IF(B33="","",SUM($B$7:B33))</f>
        <v/>
      </c>
    </row>
    <row r="34" ht="16" customHeight="1">
      <c r="A34" s="3" t="n"/>
      <c r="B34" s="16" t="n"/>
      <c r="C34" s="2" t="n"/>
      <c r="D34" s="6">
        <f>IF(B34="","",SUM($B$7:B34))</f>
        <v/>
      </c>
    </row>
    <row r="35" ht="16" customHeight="1">
      <c r="A35" s="3" t="n"/>
      <c r="B35" s="16" t="n"/>
      <c r="C35" s="2" t="n"/>
      <c r="D35" s="6">
        <f>IF(B35="","",SUM($B$7:B35))</f>
        <v/>
      </c>
    </row>
    <row r="36" ht="16" customHeight="1">
      <c r="A36" s="3" t="n"/>
      <c r="B36" s="16" t="n"/>
      <c r="C36" s="2" t="n"/>
      <c r="D36" s="6">
        <f>IF(B36="","",SUM($B$7:B36))</f>
        <v/>
      </c>
    </row>
    <row r="37" ht="16" customHeight="1">
      <c r="A37" s="3" t="n"/>
      <c r="B37" s="16" t="n"/>
      <c r="C37" s="2" t="n"/>
      <c r="D37" s="6">
        <f>IF(B37="","",SUM($B$7:B37))</f>
        <v/>
      </c>
    </row>
    <row r="38" ht="16" customHeight="1">
      <c r="A38" s="3" t="n"/>
      <c r="B38" s="16" t="n"/>
      <c r="C38" s="2" t="n"/>
      <c r="D38" s="6">
        <f>IF(B38="","",SUM($B$7:B38))</f>
        <v/>
      </c>
    </row>
    <row r="39" ht="16" customHeight="1">
      <c r="A39" s="3" t="n"/>
      <c r="B39" s="16" t="n"/>
      <c r="C39" s="2" t="n"/>
      <c r="D39" s="6">
        <f>IF(B39="","",SUM($B$7:B39))</f>
        <v/>
      </c>
    </row>
    <row r="40" ht="16" customHeight="1">
      <c r="A40" s="3" t="n"/>
      <c r="B40" s="16" t="n"/>
      <c r="C40" s="2" t="n"/>
      <c r="D40" s="6">
        <f>IF(B40="","",SUM($B$7:B40))</f>
        <v/>
      </c>
    </row>
    <row r="41" ht="16" customHeight="1">
      <c r="A41" s="3" t="n"/>
      <c r="B41" s="16" t="n"/>
      <c r="C41" s="2" t="n"/>
      <c r="D41" s="6">
        <f>IF(B41="","",SUM($B$7:B41))</f>
        <v/>
      </c>
    </row>
    <row r="42" ht="16" customHeight="1">
      <c r="A42" s="3" t="n"/>
      <c r="B42" s="16" t="n"/>
      <c r="C42" s="2" t="n"/>
      <c r="D42" s="6">
        <f>IF(B42="","",SUM($B$7:B42))</f>
        <v/>
      </c>
    </row>
    <row r="43" ht="16" customHeight="1">
      <c r="A43" s="3" t="n"/>
      <c r="B43" s="16" t="n"/>
      <c r="C43" s="2" t="n"/>
      <c r="D43" s="6">
        <f>IF(B43="","",SUM($B$7:B43))</f>
        <v/>
      </c>
    </row>
    <row r="44" ht="16" customHeight="1">
      <c r="A44" s="3" t="n"/>
      <c r="B44" s="16" t="n"/>
      <c r="C44" s="2" t="n"/>
      <c r="D44" s="6">
        <f>IF(B44="","",SUM($B$7:B44))</f>
        <v/>
      </c>
    </row>
    <row r="45" ht="16" customHeight="1">
      <c r="A45" s="3" t="n"/>
      <c r="B45" s="16" t="n"/>
      <c r="C45" s="2" t="n"/>
      <c r="D45" s="6">
        <f>IF(B45="","",SUM($B$7:B45))</f>
        <v/>
      </c>
    </row>
    <row r="46" ht="16" customHeight="1">
      <c r="A46" s="3" t="n"/>
      <c r="B46" s="16" t="n"/>
      <c r="C46" s="2" t="n"/>
      <c r="D46" s="6">
        <f>IF(B46="","",SUM($B$7:B46))</f>
        <v/>
      </c>
    </row>
    <row r="47" ht="16" customHeight="1">
      <c r="A47" s="3" t="n"/>
      <c r="B47" s="16" t="n"/>
      <c r="C47" s="2" t="n"/>
      <c r="D47" s="6">
        <f>IF(B47="","",SUM($B$7:B47))</f>
        <v/>
      </c>
    </row>
    <row r="48" ht="16" customHeight="1">
      <c r="A48" s="3" t="n"/>
      <c r="B48" s="16" t="n"/>
      <c r="C48" s="2" t="n"/>
      <c r="D48" s="6">
        <f>IF(B48="","",SUM($B$7:B48))</f>
        <v/>
      </c>
    </row>
    <row r="49" ht="16" customHeight="1">
      <c r="A49" s="3" t="n"/>
      <c r="B49" s="16" t="n"/>
      <c r="C49" s="2" t="n"/>
      <c r="D49" s="6">
        <f>IF(B49="","",SUM($B$7:B49))</f>
        <v/>
      </c>
    </row>
    <row r="50" ht="16" customHeight="1">
      <c r="A50" s="3" t="n"/>
      <c r="B50" s="16" t="n"/>
      <c r="C50" s="2" t="n"/>
      <c r="D50" s="6">
        <f>IF(B50="","",SUM($B$7:B50))</f>
        <v/>
      </c>
    </row>
    <row r="51" ht="16" customHeight="1">
      <c r="A51" s="3" t="n"/>
      <c r="B51" s="16" t="n"/>
      <c r="C51" s="2" t="n"/>
      <c r="D51" s="6">
        <f>IF(B51="","",SUM($B$7:B51))</f>
        <v/>
      </c>
    </row>
    <row r="52" ht="16" customHeight="1">
      <c r="A52" s="3" t="n"/>
      <c r="B52" s="16" t="n"/>
      <c r="C52" s="2" t="n"/>
      <c r="D52" s="6">
        <f>IF(B52="","",SUM($B$7:B52))</f>
        <v/>
      </c>
    </row>
    <row r="53" ht="16" customHeight="1">
      <c r="A53" s="3" t="n"/>
      <c r="B53" s="16" t="n"/>
      <c r="C53" s="2" t="n"/>
      <c r="D53" s="6">
        <f>IF(B53="","",SUM($B$7:B53))</f>
        <v/>
      </c>
    </row>
    <row r="54" ht="16" customHeight="1">
      <c r="A54" s="3" t="n"/>
      <c r="B54" s="16" t="n"/>
      <c r="C54" s="2" t="n"/>
      <c r="D54" s="6">
        <f>IF(B54="","",SUM($B$7:B54))</f>
        <v/>
      </c>
    </row>
    <row r="55" ht="16" customHeight="1">
      <c r="A55" s="3" t="n"/>
      <c r="B55" s="16" t="n"/>
      <c r="C55" s="2" t="n"/>
      <c r="D55" s="6">
        <f>IF(B55="","",SUM($B$7:B55))</f>
        <v/>
      </c>
    </row>
    <row r="56" ht="16" customHeight="1">
      <c r="A56" s="3" t="n"/>
      <c r="B56" s="16" t="n"/>
      <c r="C56" s="2" t="n"/>
      <c r="D56" s="6">
        <f>IF(B56="","",SUM($B$7:B56))</f>
        <v/>
      </c>
    </row>
    <row r="57" ht="16" customHeight="1">
      <c r="A57" s="3" t="n"/>
      <c r="B57" s="16" t="n"/>
      <c r="C57" s="2" t="n"/>
      <c r="D57" s="6">
        <f>IF(B57="","",SUM($B$7:B57))</f>
        <v/>
      </c>
    </row>
    <row r="58" ht="16" customHeight="1">
      <c r="A58" s="3" t="n"/>
      <c r="B58" s="16" t="n"/>
      <c r="C58" s="2" t="n"/>
      <c r="D58" s="6">
        <f>IF(B58="","",SUM($B$7:B58))</f>
        <v/>
      </c>
    </row>
    <row r="59" ht="16" customHeight="1">
      <c r="A59" s="3" t="n"/>
      <c r="B59" s="16" t="n"/>
      <c r="C59" s="2" t="n"/>
      <c r="D59" s="6">
        <f>IF(B59="","",SUM($B$7:B59))</f>
        <v/>
      </c>
    </row>
    <row r="60" ht="16" customHeight="1">
      <c r="A60" s="3" t="n"/>
      <c r="B60" s="16" t="n"/>
      <c r="C60" s="2" t="n"/>
      <c r="D60" s="6">
        <f>IF(B60="","",SUM($B$7:B60))</f>
        <v/>
      </c>
    </row>
    <row r="61" ht="16" customHeight="1">
      <c r="A61" s="3" t="n"/>
      <c r="B61" s="16" t="n"/>
      <c r="C61" s="2" t="n"/>
      <c r="D61" s="6">
        <f>IF(B61="","",SUM($B$7:B61))</f>
        <v/>
      </c>
    </row>
    <row r="62" ht="16" customHeight="1">
      <c r="A62" s="3" t="n"/>
      <c r="B62" s="16" t="n"/>
      <c r="C62" s="2" t="n"/>
      <c r="D62" s="6">
        <f>IF(B62="","",SUM($B$7:B62))</f>
        <v/>
      </c>
    </row>
    <row r="63" ht="16" customHeight="1">
      <c r="A63" s="3" t="n"/>
      <c r="B63" s="16" t="n"/>
      <c r="C63" s="2" t="n"/>
      <c r="D63" s="6">
        <f>IF(B63="","",SUM($B$7:B63))</f>
        <v/>
      </c>
    </row>
    <row r="64" ht="16" customHeight="1">
      <c r="A64" s="3" t="n"/>
      <c r="B64" s="16" t="n"/>
      <c r="C64" s="2" t="n"/>
      <c r="D64" s="6">
        <f>IF(B64="","",SUM($B$7:B64))</f>
        <v/>
      </c>
    </row>
    <row r="65" ht="16" customHeight="1">
      <c r="A65" s="3" t="n"/>
      <c r="B65" s="16" t="n"/>
      <c r="C65" s="2" t="n"/>
      <c r="D65" s="6">
        <f>IF(B65="","",SUM($B$7:B65))</f>
        <v/>
      </c>
    </row>
    <row r="66" ht="16" customHeight="1">
      <c r="A66" s="3" t="n"/>
      <c r="B66" s="16" t="n"/>
      <c r="C66" s="2" t="n"/>
      <c r="D66" s="6">
        <f>IF(B66="","",SUM($B$7:B66))</f>
        <v/>
      </c>
    </row>
    <row r="67" ht="16" customHeight="1">
      <c r="A67" s="3" t="n"/>
      <c r="B67" s="16" t="n"/>
      <c r="C67" s="2" t="n"/>
      <c r="D67" s="6">
        <f>IF(B67="","",SUM($B$7:B67))</f>
        <v/>
      </c>
    </row>
    <row r="68" ht="16" customHeight="1">
      <c r="A68" s="3" t="n"/>
      <c r="B68" s="16" t="n"/>
      <c r="C68" s="2" t="n"/>
      <c r="D68" s="6">
        <f>IF(B68="","",SUM($B$7:B68))</f>
        <v/>
      </c>
    </row>
    <row r="69" ht="16" customHeight="1">
      <c r="A69" s="3" t="n"/>
      <c r="B69" s="16" t="n"/>
      <c r="C69" s="2" t="n"/>
      <c r="D69" s="6">
        <f>IF(B69="","",SUM($B$7:B69))</f>
        <v/>
      </c>
    </row>
    <row r="70" ht="16" customHeight="1">
      <c r="A70" s="3" t="n"/>
      <c r="B70" s="16" t="n"/>
      <c r="C70" s="2" t="n"/>
      <c r="D70" s="6">
        <f>IF(B70="","",SUM($B$7:B70))</f>
        <v/>
      </c>
    </row>
    <row r="71" ht="16" customHeight="1">
      <c r="A71" s="3" t="n"/>
      <c r="B71" s="16" t="n"/>
      <c r="C71" s="2" t="n"/>
      <c r="D71" s="6">
        <f>IF(B71="","",SUM($B$7:B71))</f>
        <v/>
      </c>
    </row>
    <row r="72" ht="16" customHeight="1">
      <c r="A72" s="3" t="n"/>
      <c r="B72" s="16" t="n"/>
      <c r="C72" s="2" t="n"/>
      <c r="D72" s="6">
        <f>IF(B72="","",SUM($B$7:B72))</f>
        <v/>
      </c>
    </row>
    <row r="73" ht="16" customHeight="1">
      <c r="A73" s="3" t="n"/>
      <c r="B73" s="16" t="n"/>
      <c r="C73" s="2" t="n"/>
      <c r="D73" s="6">
        <f>IF(B73="","",SUM($B$7:B73))</f>
        <v/>
      </c>
    </row>
    <row r="74" ht="16" customHeight="1">
      <c r="A74" s="3" t="n"/>
      <c r="B74" s="16" t="n"/>
      <c r="C74" s="2" t="n"/>
      <c r="D74" s="6">
        <f>IF(B74="","",SUM($B$7:B74))</f>
        <v/>
      </c>
    </row>
    <row r="75" ht="16" customHeight="1">
      <c r="A75" s="3" t="n"/>
      <c r="B75" s="16" t="n"/>
      <c r="C75" s="2" t="n"/>
      <c r="D75" s="6">
        <f>IF(B75="","",SUM($B$7:B75))</f>
        <v/>
      </c>
    </row>
    <row r="76" ht="16" customHeight="1">
      <c r="A76" s="3" t="n"/>
      <c r="B76" s="16" t="n"/>
      <c r="C76" s="2" t="n"/>
      <c r="D76" s="6">
        <f>IF(B76="","",SUM($B$7:B76))</f>
        <v/>
      </c>
    </row>
    <row r="77" ht="16" customHeight="1">
      <c r="A77" s="3" t="n"/>
      <c r="B77" s="16" t="n"/>
      <c r="C77" s="2" t="n"/>
      <c r="D77" s="6">
        <f>IF(B77="","",SUM($B$7:B77))</f>
        <v/>
      </c>
    </row>
    <row r="78" ht="16" customHeight="1">
      <c r="A78" s="3" t="n"/>
      <c r="B78" s="16" t="n"/>
      <c r="C78" s="2" t="n"/>
      <c r="D78" s="6">
        <f>IF(B78="","",SUM($B$7:B78))</f>
        <v/>
      </c>
    </row>
    <row r="79" ht="16" customHeight="1">
      <c r="A79" s="3" t="n"/>
      <c r="B79" s="16" t="n"/>
      <c r="C79" s="2" t="n"/>
      <c r="D79" s="6">
        <f>IF(B79="","",SUM($B$7:B79))</f>
        <v/>
      </c>
    </row>
    <row r="80" ht="16" customHeight="1">
      <c r="A80" s="3" t="n"/>
      <c r="B80" s="16" t="n"/>
      <c r="C80" s="2" t="n"/>
      <c r="D80" s="6">
        <f>IF(B80="","",SUM($B$7:B80))</f>
        <v/>
      </c>
    </row>
    <row r="81" ht="16" customHeight="1">
      <c r="A81" s="3" t="n"/>
      <c r="B81" s="16" t="n"/>
      <c r="C81" s="2" t="n"/>
      <c r="D81" s="6">
        <f>IF(B81="","",SUM($B$7:B81))</f>
        <v/>
      </c>
    </row>
    <row r="82" ht="16" customHeight="1">
      <c r="A82" s="3" t="n"/>
      <c r="B82" s="16" t="n"/>
      <c r="C82" s="2" t="n"/>
      <c r="D82" s="6">
        <f>IF(B82="","",SUM($B$7:B82))</f>
        <v/>
      </c>
    </row>
    <row r="83" ht="16" customHeight="1">
      <c r="A83" s="3" t="n"/>
      <c r="B83" s="16" t="n"/>
      <c r="C83" s="2" t="n"/>
      <c r="D83" s="6">
        <f>IF(B83="","",SUM($B$7:B83))</f>
        <v/>
      </c>
    </row>
    <row r="84" ht="16" customHeight="1">
      <c r="A84" s="3" t="n"/>
      <c r="B84" s="16" t="n"/>
      <c r="C84" s="2" t="n"/>
      <c r="D84" s="6">
        <f>IF(B84="","",SUM($B$7:B84))</f>
        <v/>
      </c>
    </row>
    <row r="85" ht="16" customHeight="1">
      <c r="A85" s="3" t="n"/>
      <c r="B85" s="16" t="n"/>
      <c r="C85" s="2" t="n"/>
      <c r="D85" s="6">
        <f>IF(B85="","",SUM($B$7:B85))</f>
        <v/>
      </c>
    </row>
    <row r="86" ht="16" customHeight="1">
      <c r="A86" s="3" t="n"/>
      <c r="B86" s="16" t="n"/>
      <c r="C86" s="2" t="n"/>
      <c r="D86" s="6">
        <f>IF(B86="","",SUM($B$7:B86))</f>
        <v/>
      </c>
    </row>
    <row r="87" ht="16" customHeight="1">
      <c r="A87" s="3" t="n"/>
      <c r="B87" s="16" t="n"/>
      <c r="C87" s="2" t="n"/>
      <c r="D87" s="6">
        <f>IF(B87="","",SUM($B$7:B87))</f>
        <v/>
      </c>
    </row>
    <row r="88" ht="16" customHeight="1">
      <c r="A88" s="3" t="n"/>
      <c r="B88" s="16" t="n"/>
      <c r="C88" s="2" t="n"/>
      <c r="D88" s="6">
        <f>IF(B88="","",SUM($B$7:B88))</f>
        <v/>
      </c>
    </row>
    <row r="89" ht="16" customHeight="1">
      <c r="A89" s="3" t="n"/>
      <c r="B89" s="16" t="n"/>
      <c r="C89" s="2" t="n"/>
      <c r="D89" s="6">
        <f>IF(B89="","",SUM($B$7:B89))</f>
        <v/>
      </c>
    </row>
    <row r="90" ht="16" customHeight="1">
      <c r="A90" s="3" t="n"/>
      <c r="B90" s="16" t="n"/>
      <c r="C90" s="2" t="n"/>
      <c r="D90" s="6">
        <f>IF(B90="","",SUM($B$7:B90))</f>
        <v/>
      </c>
    </row>
    <row r="91" ht="16" customHeight="1">
      <c r="A91" s="3" t="n"/>
      <c r="B91" s="16" t="n"/>
      <c r="C91" s="2" t="n"/>
      <c r="D91" s="6">
        <f>IF(B91="","",SUM($B$7:B91))</f>
        <v/>
      </c>
    </row>
    <row r="92" ht="16" customHeight="1">
      <c r="A92" s="3" t="n"/>
      <c r="B92" s="16" t="n"/>
      <c r="C92" s="2" t="n"/>
      <c r="D92" s="6">
        <f>IF(B92="","",SUM($B$7:B92))</f>
        <v/>
      </c>
    </row>
    <row r="93" ht="16" customHeight="1">
      <c r="A93" s="3" t="n"/>
      <c r="B93" s="16" t="n"/>
      <c r="C93" s="2" t="n"/>
      <c r="D93" s="6">
        <f>IF(B93="","",SUM($B$7:B93))</f>
        <v/>
      </c>
    </row>
    <row r="94" ht="16" customHeight="1">
      <c r="A94" s="3" t="n"/>
      <c r="B94" s="16" t="n"/>
      <c r="C94" s="2" t="n"/>
      <c r="D94" s="6">
        <f>IF(B94="","",SUM($B$7:B94))</f>
        <v/>
      </c>
    </row>
    <row r="95" ht="16" customHeight="1">
      <c r="A95" s="3" t="n"/>
      <c r="B95" s="16" t="n"/>
      <c r="C95" s="2" t="n"/>
      <c r="D95" s="6">
        <f>IF(B95="","",SUM($B$7:B95))</f>
        <v/>
      </c>
    </row>
    <row r="96" ht="16" customHeight="1">
      <c r="A96" s="3" t="n"/>
      <c r="B96" s="16" t="n"/>
      <c r="C96" s="2" t="n"/>
      <c r="D96" s="6">
        <f>IF(B96="","",SUM($B$7:B96))</f>
        <v/>
      </c>
    </row>
    <row r="97" ht="16" customHeight="1">
      <c r="A97" s="3" t="n"/>
      <c r="B97" s="16" t="n"/>
      <c r="C97" s="2" t="n"/>
      <c r="D97" s="6">
        <f>IF(B97="","",SUM($B$7:B97))</f>
        <v/>
      </c>
    </row>
    <row r="98" ht="16" customHeight="1">
      <c r="A98" s="3" t="n"/>
      <c r="B98" s="16" t="n"/>
      <c r="C98" s="2" t="n"/>
      <c r="D98" s="6">
        <f>IF(B98="","",SUM($B$7:B98))</f>
        <v/>
      </c>
    </row>
    <row r="99" ht="16" customHeight="1">
      <c r="A99" s="3" t="n"/>
      <c r="B99" s="16" t="n"/>
      <c r="C99" s="2" t="n"/>
      <c r="D99" s="6">
        <f>IF(B99="","",SUM($B$7:B99))</f>
        <v/>
      </c>
    </row>
    <row r="100" ht="16" customHeight="1">
      <c r="A100" s="3" t="n"/>
      <c r="B100" s="16" t="n"/>
      <c r="C100" s="2" t="n"/>
      <c r="D100" s="6">
        <f>IF(B100="","",SUM($B$7:B100))</f>
        <v/>
      </c>
    </row>
    <row r="101" ht="16" customHeight="1">
      <c r="A101" s="3" t="n"/>
      <c r="B101" s="16" t="n"/>
      <c r="C101" s="2" t="n"/>
      <c r="D101" s="6">
        <f>IF(B101="","",SUM($B$7:B101))</f>
        <v/>
      </c>
    </row>
    <row r="102" ht="16" customHeight="1">
      <c r="A102" s="3" t="n"/>
      <c r="B102" s="16" t="n"/>
      <c r="C102" s="2" t="n"/>
      <c r="D102" s="6">
        <f>IF(B102="","",SUM($B$7:B102))</f>
        <v/>
      </c>
    </row>
    <row r="103" ht="16" customHeight="1">
      <c r="A103" s="3" t="n"/>
      <c r="B103" s="16" t="n"/>
      <c r="C103" s="2" t="n"/>
      <c r="D103" s="6">
        <f>IF(B103="","",SUM($B$7:B103))</f>
        <v/>
      </c>
    </row>
    <row r="104" ht="16" customHeight="1">
      <c r="A104" s="3" t="n"/>
      <c r="B104" s="16" t="n"/>
      <c r="C104" s="2" t="n"/>
      <c r="D104" s="6">
        <f>IF(B104="","",SUM($B$7:B104))</f>
        <v/>
      </c>
    </row>
    <row r="105" ht="16" customHeight="1">
      <c r="A105" s="3" t="n"/>
      <c r="B105" s="16" t="n"/>
      <c r="C105" s="2" t="n"/>
      <c r="D105" s="6">
        <f>IF(B105="","",SUM($B$7:B105))</f>
        <v/>
      </c>
    </row>
    <row r="106" ht="16" customHeight="1">
      <c r="A106" s="3" t="n"/>
      <c r="B106" s="16" t="n"/>
      <c r="C106" s="2" t="n"/>
      <c r="D106" s="6">
        <f>IF(B106="","",SUM($B$7:B106))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2026-07-08T16:17:35Z</dcterms:created>
  <dcterms:modified xsi:type="dcterms:W3CDTF">2026-07-08T16:17:35Z</dcterms:modified>
</cp:coreProperties>
</file>