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варталы" sheetId="1" state="visible" r:id="rId1"/>
    <sheet name="Недели" sheetId="2" state="visible" r:id="rId2"/>
    <sheet name="Метри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8"/>
    </font>
    <font>
      <name val="Arial"/>
      <b val="1"/>
      <sz val="9"/>
    </font>
    <font>
      <name val="Arial"/>
      <b val="1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6F9FC"/>
      </patternFill>
    </fill>
    <fill>
      <patternFill patternType="solid">
        <fgColor rgb="FFF4FAF4"/>
      </patternFill>
    </fill>
    <fill>
      <patternFill patternType="solid">
        <fgColor rgb="FFFdF9F2"/>
      </patternFill>
    </fill>
    <fill>
      <patternFill patternType="solid">
        <fgColor rgb="FFF9F4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right" vertical="center"/>
    </xf>
    <xf numFmtId="9" fontId="3" fillId="2" borderId="1" applyAlignment="1" pivotButton="0" quotePrefix="0" xfId="0">
      <alignment horizontal="right" vertical="center"/>
    </xf>
    <xf numFmtId="1" fontId="5" fillId="0" borderId="1" applyAlignment="1" pivotButton="0" quotePrefix="0" xfId="0">
      <alignment horizontal="right" vertical="center"/>
    </xf>
    <xf numFmtId="1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name val="Arial"/>
        <color rgb="FF006100"/>
        <sz val="9"/>
      </font>
      <fill>
        <patternFill patternType="solid">
          <fgColor rgb="FFC6EFCE"/>
        </patternFill>
      </fill>
    </dxf>
    <dxf>
      <font>
        <name val="Arial"/>
        <color rgb="FF9C6500"/>
        <sz val="9"/>
      </font>
      <fill>
        <patternFill patternType="solid">
          <fgColor rgb="FFFFEB9C"/>
        </patternFill>
      </fill>
    </dxf>
    <dxf>
      <font>
        <name val="Arial"/>
        <color rgb="FF9C0006"/>
        <sz val="9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56" customWidth="1" min="3" max="3"/>
    <col width="34" customWidth="1" min="4" max="4"/>
    <col width="12" customWidth="1" min="5" max="5"/>
    <col width="30" customWidth="1" min="6" max="6"/>
  </cols>
  <sheetData>
    <row r="1">
      <c r="A1" s="1" t="inlineStr">
        <is>
          <t>План 2026 по кварталам</t>
        </is>
      </c>
    </row>
    <row r="2">
      <c r="A2" s="2" t="inlineStr">
        <is>
          <t>Фаза 1. Цель 2026: 60–120 тыс € оборота, 3 бригады, работающая система.</t>
        </is>
      </c>
    </row>
    <row r="4" ht="18" customHeight="1">
      <c r="A4" s="3" t="inlineStr">
        <is>
          <t>Квартал</t>
        </is>
      </c>
      <c r="B4" s="3" t="inlineStr">
        <is>
          <t>Период</t>
        </is>
      </c>
      <c r="C4" s="3" t="inlineStr">
        <is>
          <t>Цели</t>
        </is>
      </c>
      <c r="D4" s="3" t="inlineStr">
        <is>
          <t>Ключевые метрики</t>
        </is>
      </c>
      <c r="E4" s="3" t="inlineStr">
        <is>
          <t>Статус</t>
        </is>
      </c>
      <c r="F4" s="3" t="inlineStr">
        <is>
          <t>Заметки</t>
        </is>
      </c>
    </row>
    <row r="5" ht="72" customHeight="1">
      <c r="A5" s="4" t="inlineStr">
        <is>
          <t>Q1</t>
        </is>
      </c>
      <c r="B5" s="5" t="inlineStr">
        <is>
          <t>янв–мар</t>
        </is>
      </c>
      <c r="C5" s="6" t="inlineStr">
        <is>
          <t>• Легализация: регистрация SIA + внесение в реестр būvkomersants
• 2–3 объекта Vārnu iela (сметы, договоры, сдачи)
• Довести шаблоны (смета / договор / акт) и финучёт (finances_2026)
• Поиск кандидатов в первую бригаду</t>
        </is>
      </c>
      <c r="D5" s="6" t="inlineStr">
        <is>
          <t>Оборот ≥ 10 000 €
3 объекта сданы
SIA + būvkomersants оформлены
Шорт-лист бригады</t>
        </is>
      </c>
      <c r="E5" s="5" t="inlineStr"/>
      <c r="F5" s="6" t="inlineStr"/>
    </row>
    <row r="6" ht="72" customHeight="1">
      <c r="A6" s="4" t="inlineStr">
        <is>
          <t>Q2</t>
        </is>
      </c>
      <c r="B6" s="5" t="inlineStr">
        <is>
          <t>апр–июн</t>
        </is>
      </c>
      <c r="C6" s="6" t="inlineStr">
        <is>
          <t>• Первая постоянная бригада (оформление, ставки, чек-листы качества)
• Системный обзвон DzĪB: 5–10 контактов каждую неделю
• 2 объекта параллельно (бригада + сам)</t>
        </is>
      </c>
      <c r="D6" s="6" t="inlineStr">
        <is>
          <t>Оборот ≥ 18 000 €
4 объекта
1 бригада работает
≥ 60 контактов DzĪB за квартал</t>
        </is>
      </c>
      <c r="E6" s="5" t="inlineStr"/>
      <c r="F6" s="6" t="inlineStr"/>
    </row>
    <row r="7" ht="72" customHeight="1">
      <c r="A7" s="4" t="inlineStr">
        <is>
          <t>Q3</t>
        </is>
      </c>
      <c r="B7" s="5" t="inlineStr">
        <is>
          <t>июл–сен</t>
        </is>
      </c>
      <c r="C7" s="6" t="inlineStr">
        <is>
          <t>• Вторая бригада
• Первый крупный объект (15–40 тыс €): смета, договор, поэтапная сдача
• Профиль прораба: описать роль, требования, черновик вакансии</t>
        </is>
      </c>
      <c r="D7" s="6" t="inlineStr">
        <is>
          <t>Оборот ≥ 30 000 €
1 крупный объект сдан
2 бригады
Профиль прораба готов</t>
        </is>
      </c>
      <c r="E7" s="5" t="inlineStr"/>
      <c r="F7" s="6" t="inlineStr"/>
    </row>
    <row r="8" ht="72" customHeight="1">
      <c r="A8" s="4" t="inlineStr">
        <is>
          <t>Q4</t>
        </is>
      </c>
      <c r="B8" s="5" t="inlineStr">
        <is>
          <t>окт–дек</t>
        </is>
      </c>
      <c r="C8" s="6" t="inlineStr">
        <is>
          <t>• Третья бригада — 3 бригады работают
• 3 объекта параллельно (распределение по бригадам, планёрки)
• Годовой финитог: оборот / прибыль / маржа, выводы
• Решение по найму прораба (экономика найма)</t>
        </is>
      </c>
      <c r="D8" s="6" t="inlineStr">
        <is>
          <t>Оборот ≥ 32 000 €
3 бригады
3 объекта одновременно
Решение по прорабу принято</t>
        </is>
      </c>
      <c r="E8" s="5" t="inlineStr"/>
      <c r="F8" s="6" t="inlineStr"/>
    </row>
  </sheetData>
  <conditionalFormatting sqref="E5:E8">
    <cfRule type="cellIs" priority="1" operator="equal" dxfId="0">
      <formula>"сделано"</formula>
    </cfRule>
    <cfRule type="cellIs" priority="2" operator="equal" dxfId="0">
      <formula>"выполнен"</formula>
    </cfRule>
    <cfRule type="cellIs" priority="3" operator="equal" dxfId="1">
      <formula>"в работе"</formula>
    </cfRule>
    <cfRule type="cellIs" priority="4" operator="equal" dxfId="1">
      <formula>"частично"</formula>
    </cfRule>
    <cfRule type="cellIs" priority="5" operator="equal" dxfId="2">
      <formula>"перенесено"</formula>
    </cfRule>
  </conditionalFormatting>
  <dataValidations count="1">
    <dataValidation sqref="E5:E8" showDropDown="0" showInputMessage="0" showErrorMessage="0" allowBlank="1" type="list">
      <formula1>"не начат,в работе,выполнен,частично"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6" customWidth="1" min="3" max="3"/>
    <col width="62" customWidth="1" min="4" max="4"/>
    <col width="12" customWidth="1" min="5" max="5"/>
    <col width="32" customWidth="1" min="6" max="6"/>
  </cols>
  <sheetData>
    <row r="1">
      <c r="A1" s="1" t="inlineStr">
        <is>
          <t>План 2026 по неделям</t>
        </is>
      </c>
    </row>
    <row r="2">
      <c r="A2" s="2" t="inlineStr">
        <is>
          <t>2026 год по ISO-календарю содержит 53 недели; W53 — резервная.</t>
        </is>
      </c>
    </row>
    <row r="4" ht="18" customHeight="1">
      <c r="A4" s="3" t="inlineStr">
        <is>
          <t>Неделя</t>
        </is>
      </c>
      <c r="B4" s="3" t="inlineStr">
        <is>
          <t>Даты</t>
        </is>
      </c>
      <c r="C4" s="3" t="inlineStr">
        <is>
          <t>Кв.</t>
        </is>
      </c>
      <c r="D4" s="3" t="inlineStr">
        <is>
          <t>Главные задачи</t>
        </is>
      </c>
      <c r="E4" s="3" t="inlineStr">
        <is>
          <t>Статус</t>
        </is>
      </c>
      <c r="F4" s="3" t="inlineStr">
        <is>
          <t>Заметки</t>
        </is>
      </c>
    </row>
    <row r="5" ht="28" customHeight="1">
      <c r="A5" s="7" t="inlineStr">
        <is>
          <t>W1</t>
        </is>
      </c>
      <c r="B5" s="8" t="inlineStr">
        <is>
          <t>29.12–04.01</t>
        </is>
      </c>
      <c r="C5" s="8" t="inlineStr">
        <is>
          <t>Q1</t>
        </is>
      </c>
      <c r="D5" s="9" t="inlineStr">
        <is>
          <t>Годовое планирование. Подготовка к регистрации SIA: название, уставный капитал, e-paraksts, юр. адрес</t>
        </is>
      </c>
      <c r="E5" s="8" t="inlineStr">
        <is>
          <t>план</t>
        </is>
      </c>
      <c r="F5" s="9" t="inlineStr"/>
    </row>
    <row r="6" ht="28" customHeight="1">
      <c r="A6" s="7" t="inlineStr">
        <is>
          <t>W2</t>
        </is>
      </c>
      <c r="B6" s="8" t="inlineStr">
        <is>
          <t>05.01–11.01</t>
        </is>
      </c>
      <c r="C6" s="8" t="inlineStr">
        <is>
          <t>Q1</t>
        </is>
      </c>
      <c r="D6" s="9" t="inlineStr">
        <is>
          <t>Подача документов на регистрацию SIA в Uzņēmumu reģistrs. Открытие бизнес-счёта</t>
        </is>
      </c>
      <c r="E6" s="8" t="inlineStr">
        <is>
          <t>план</t>
        </is>
      </c>
      <c r="F6" s="9" t="inlineStr"/>
    </row>
    <row r="7" ht="28" customHeight="1">
      <c r="A7" s="7" t="inlineStr">
        <is>
          <t>W3</t>
        </is>
      </c>
      <c r="B7" s="8" t="inlineStr">
        <is>
          <t>12.01–18.01</t>
        </is>
      </c>
      <c r="C7" s="8" t="inlineStr">
        <is>
          <t>Q1</t>
        </is>
      </c>
      <c r="D7" s="9" t="inlineStr">
        <is>
          <t>Объект Vārnu iela №1: смета, договор, аванс. Параллельно — пакет документов для реестра būvkomersants</t>
        </is>
      </c>
      <c r="E7" s="8" t="inlineStr">
        <is>
          <t>план</t>
        </is>
      </c>
      <c r="F7" s="9" t="inlineStr"/>
    </row>
    <row r="8" ht="28" customHeight="1">
      <c r="A8" s="7" t="inlineStr">
        <is>
          <t>W4</t>
        </is>
      </c>
      <c r="B8" s="8" t="inlineStr">
        <is>
          <t>19.01–25.01</t>
        </is>
      </c>
      <c r="C8" s="8" t="inlineStr">
        <is>
          <t>Q1</t>
        </is>
      </c>
      <c r="D8" s="9" t="inlineStr">
        <is>
          <t>Старт работ на объекте №1. Финучёт: вести finances_2026 по объекту с первого дня</t>
        </is>
      </c>
      <c r="E8" s="8" t="inlineStr">
        <is>
          <t>план</t>
        </is>
      </c>
      <c r="F8" s="9" t="inlineStr"/>
    </row>
    <row r="9" ht="28" customHeight="1">
      <c r="A9" s="7" t="inlineStr">
        <is>
          <t>W5</t>
        </is>
      </c>
      <c r="B9" s="8" t="inlineStr">
        <is>
          <t>26.01–01.02</t>
        </is>
      </c>
      <c r="C9" s="8" t="inlineStr">
        <is>
          <t>Q1</t>
        </is>
      </c>
      <c r="D9" s="9" t="inlineStr">
        <is>
          <t>Объект №1: работы. Подача заявления в реестр būvkomersants</t>
        </is>
      </c>
      <c r="E9" s="8" t="inlineStr">
        <is>
          <t>план</t>
        </is>
      </c>
      <c r="F9" s="9" t="inlineStr"/>
    </row>
    <row r="10" ht="28" customHeight="1">
      <c r="A10" s="7" t="inlineStr">
        <is>
          <t>W6</t>
        </is>
      </c>
      <c r="B10" s="8" t="inlineStr">
        <is>
          <t>02.02–08.02</t>
        </is>
      </c>
      <c r="C10" s="8" t="inlineStr">
        <is>
          <t>Q1</t>
        </is>
      </c>
      <c r="D10" s="9" t="inlineStr">
        <is>
          <t>Сдача объекта №1: акт, остаток оплаты, отзыв заказчика</t>
        </is>
      </c>
      <c r="E10" s="8" t="inlineStr">
        <is>
          <t>план</t>
        </is>
      </c>
      <c r="F10" s="9" t="inlineStr"/>
    </row>
    <row r="11" ht="28" customHeight="1">
      <c r="A11" s="7" t="inlineStr">
        <is>
          <t>W7</t>
        </is>
      </c>
      <c r="B11" s="8" t="inlineStr">
        <is>
          <t>09.02–15.02</t>
        </is>
      </c>
      <c r="C11" s="8" t="inlineStr">
        <is>
          <t>Q1</t>
        </is>
      </c>
      <c r="D11" s="9" t="inlineStr">
        <is>
          <t>Объект Vārnu №2: смета, договор, аванс. Довести шаблоны: смета / договор / акт приёмки</t>
        </is>
      </c>
      <c r="E11" s="8" t="inlineStr">
        <is>
          <t>план</t>
        </is>
      </c>
      <c r="F11" s="9" t="inlineStr"/>
    </row>
    <row r="12" ht="28" customHeight="1">
      <c r="A12" s="7" t="inlineStr">
        <is>
          <t>W8</t>
        </is>
      </c>
      <c r="B12" s="8" t="inlineStr">
        <is>
          <t>16.02–22.02</t>
        </is>
      </c>
      <c r="C12" s="8" t="inlineStr">
        <is>
          <t>Q1</t>
        </is>
      </c>
      <c r="D12" s="9" t="inlineStr">
        <is>
          <t>Объект №2: работы. Разместить объявления о поиске мастеров (первая бригада)</t>
        </is>
      </c>
      <c r="E12" s="8" t="inlineStr">
        <is>
          <t>план</t>
        </is>
      </c>
      <c r="F12" s="9" t="inlineStr"/>
    </row>
    <row r="13" ht="28" customHeight="1">
      <c r="A13" s="7" t="inlineStr">
        <is>
          <t>W9</t>
        </is>
      </c>
      <c r="B13" s="8" t="inlineStr">
        <is>
          <t>23.02–01.03</t>
        </is>
      </c>
      <c r="C13" s="8" t="inlineStr">
        <is>
          <t>Q1</t>
        </is>
      </c>
      <c r="D13" s="9" t="inlineStr">
        <is>
          <t>Объект №2: работы. Первые собеседования мастеров</t>
        </is>
      </c>
      <c r="E13" s="8" t="inlineStr">
        <is>
          <t>план</t>
        </is>
      </c>
      <c r="F13" s="9" t="inlineStr"/>
    </row>
    <row r="14" ht="28" customHeight="1">
      <c r="A14" s="7" t="inlineStr">
        <is>
          <t>W10</t>
        </is>
      </c>
      <c r="B14" s="8" t="inlineStr">
        <is>
          <t>02.03–08.03</t>
        </is>
      </c>
      <c r="C14" s="8" t="inlineStr">
        <is>
          <t>Q1</t>
        </is>
      </c>
      <c r="D14" s="9" t="inlineStr">
        <is>
          <t>Сдача объекта №2. Тест 1–2 кандидатов на подработке</t>
        </is>
      </c>
      <c r="E14" s="8" t="inlineStr">
        <is>
          <t>план</t>
        </is>
      </c>
      <c r="F14" s="9" t="inlineStr"/>
    </row>
    <row r="15" ht="28" customHeight="1">
      <c r="A15" s="7" t="inlineStr">
        <is>
          <t>W11</t>
        </is>
      </c>
      <c r="B15" s="8" t="inlineStr">
        <is>
          <t>09.03–15.03</t>
        </is>
      </c>
      <c r="C15" s="8" t="inlineStr">
        <is>
          <t>Q1</t>
        </is>
      </c>
      <c r="D15" s="9" t="inlineStr">
        <is>
          <t>Объект №3: смета, договор. Проверить статус SIA и būvkomersants — добить хвосты</t>
        </is>
      </c>
      <c r="E15" s="8" t="inlineStr">
        <is>
          <t>план</t>
        </is>
      </c>
      <c r="F15" s="9" t="inlineStr"/>
    </row>
    <row r="16" ht="28" customHeight="1">
      <c r="A16" s="7" t="inlineStr">
        <is>
          <t>W12</t>
        </is>
      </c>
      <c r="B16" s="8" t="inlineStr">
        <is>
          <t>16.03–22.03</t>
        </is>
      </c>
      <c r="C16" s="8" t="inlineStr">
        <is>
          <t>Q1</t>
        </is>
      </c>
      <c r="D16" s="9" t="inlineStr">
        <is>
          <t>Объект №3: работы. Шорт-лист первой бригады (2–3 человека)</t>
        </is>
      </c>
      <c r="E16" s="8" t="inlineStr">
        <is>
          <t>план</t>
        </is>
      </c>
      <c r="F16" s="9" t="inlineStr"/>
    </row>
    <row r="17" ht="28" customHeight="1">
      <c r="A17" s="7" t="inlineStr">
        <is>
          <t>W13</t>
        </is>
      </c>
      <c r="B17" s="8" t="inlineStr">
        <is>
          <t>23.03–29.03</t>
        </is>
      </c>
      <c r="C17" s="8" t="inlineStr">
        <is>
          <t>Q1</t>
        </is>
      </c>
      <c r="D17" s="9" t="inlineStr">
        <is>
          <t>Итоги Q1: финитог по объектам, метрики, план Q2</t>
        </is>
      </c>
      <c r="E17" s="8" t="inlineStr">
        <is>
          <t>план</t>
        </is>
      </c>
      <c r="F17" s="9" t="inlineStr"/>
    </row>
    <row r="18" ht="28" customHeight="1">
      <c r="A18" s="10" t="inlineStr">
        <is>
          <t>W14</t>
        </is>
      </c>
      <c r="B18" s="11" t="inlineStr">
        <is>
          <t>30.03–05.04</t>
        </is>
      </c>
      <c r="C18" s="11" t="inlineStr">
        <is>
          <t>Q2</t>
        </is>
      </c>
      <c r="D18" s="12" t="inlineStr">
        <is>
          <t>Оформить первую бригаду: договорённости, ставки, правила. Составить базу DzĪB для обзвона (50+ контактов)</t>
        </is>
      </c>
      <c r="E18" s="11" t="inlineStr">
        <is>
          <t>план</t>
        </is>
      </c>
      <c r="F18" s="12" t="inlineStr"/>
    </row>
    <row r="19" ht="28" customHeight="1">
      <c r="A19" s="10" t="inlineStr">
        <is>
          <t>W15</t>
        </is>
      </c>
      <c r="B19" s="11" t="inlineStr">
        <is>
          <t>06.04–12.04</t>
        </is>
      </c>
      <c r="C19" s="11" t="inlineStr">
        <is>
          <t>Q2</t>
        </is>
      </c>
      <c r="D19" s="12" t="inlineStr">
        <is>
          <t>Старт системного обзвона DzĪB (5–10 контактов/нед). Сдача объекта №3</t>
        </is>
      </c>
      <c r="E19" s="11" t="inlineStr">
        <is>
          <t>план</t>
        </is>
      </c>
      <c r="F19" s="12" t="inlineStr"/>
    </row>
    <row r="20" ht="28" customHeight="1">
      <c r="A20" s="10" t="inlineStr">
        <is>
          <t>W16</t>
        </is>
      </c>
      <c r="B20" s="11" t="inlineStr">
        <is>
          <t>13.04–19.04</t>
        </is>
      </c>
      <c r="C20" s="11" t="inlineStr">
        <is>
          <t>Q2</t>
        </is>
      </c>
      <c r="D20" s="12" t="inlineStr">
        <is>
          <t>Обзвон DzĪB. Первый самостоятельный объект бригады — запуск</t>
        </is>
      </c>
      <c r="E20" s="11" t="inlineStr">
        <is>
          <t>план</t>
        </is>
      </c>
      <c r="F20" s="12" t="inlineStr"/>
    </row>
    <row r="21" ht="28" customHeight="1">
      <c r="A21" s="10" t="inlineStr">
        <is>
          <t>W17</t>
        </is>
      </c>
      <c r="B21" s="11" t="inlineStr">
        <is>
          <t>20.04–26.04</t>
        </is>
      </c>
      <c r="C21" s="11" t="inlineStr">
        <is>
          <t>Q2</t>
        </is>
      </c>
      <c r="D21" s="12" t="inlineStr">
        <is>
          <t>Обзвон DzĪB. Контроль качества бригады: чек-листы, приёмка этапов</t>
        </is>
      </c>
      <c r="E21" s="11" t="inlineStr">
        <is>
          <t>план</t>
        </is>
      </c>
      <c r="F21" s="12" t="inlineStr"/>
    </row>
    <row r="22" ht="28" customHeight="1">
      <c r="A22" s="10" t="inlineStr">
        <is>
          <t>W18</t>
        </is>
      </c>
      <c r="B22" s="11" t="inlineStr">
        <is>
          <t>27.04–03.05</t>
        </is>
      </c>
      <c r="C22" s="11" t="inlineStr">
        <is>
          <t>Q2</t>
        </is>
      </c>
      <c r="D22" s="12" t="inlineStr">
        <is>
          <t>Обзвон DzĪB. Смета и договор на следующий объект</t>
        </is>
      </c>
      <c r="E22" s="11" t="inlineStr">
        <is>
          <t>план</t>
        </is>
      </c>
      <c r="F22" s="12" t="inlineStr"/>
    </row>
    <row r="23" ht="28" customHeight="1">
      <c r="A23" s="10" t="inlineStr">
        <is>
          <t>W19</t>
        </is>
      </c>
      <c r="B23" s="11" t="inlineStr">
        <is>
          <t>04.05–10.05</t>
        </is>
      </c>
      <c r="C23" s="11" t="inlineStr">
        <is>
          <t>Q2</t>
        </is>
      </c>
      <c r="D23" s="12" t="inlineStr">
        <is>
          <t>Обзвон DzĪB. Выйти на 2 объекта параллельно (бригада + сам)</t>
        </is>
      </c>
      <c r="E23" s="11" t="inlineStr">
        <is>
          <t>план</t>
        </is>
      </c>
      <c r="F23" s="12" t="inlineStr"/>
    </row>
    <row r="24" ht="28" customHeight="1">
      <c r="A24" s="10" t="inlineStr">
        <is>
          <t>W20</t>
        </is>
      </c>
      <c r="B24" s="11" t="inlineStr">
        <is>
          <t>11.05–17.05</t>
        </is>
      </c>
      <c r="C24" s="11" t="inlineStr">
        <is>
          <t>Q2</t>
        </is>
      </c>
      <c r="D24" s="12" t="inlineStr">
        <is>
          <t>Обзвон DzĪB. Контроль 2 объектов, закупки материалов</t>
        </is>
      </c>
      <c r="E24" s="11" t="inlineStr">
        <is>
          <t>план</t>
        </is>
      </c>
      <c r="F24" s="12" t="inlineStr"/>
    </row>
    <row r="25" ht="28" customHeight="1">
      <c r="A25" s="10" t="inlineStr">
        <is>
          <t>W21</t>
        </is>
      </c>
      <c r="B25" s="11" t="inlineStr">
        <is>
          <t>18.05–24.05</t>
        </is>
      </c>
      <c r="C25" s="11" t="inlineStr">
        <is>
          <t>Q2</t>
        </is>
      </c>
      <c r="D25" s="12" t="inlineStr">
        <is>
          <t>Обзвон DzĪB. Сдача одного из объектов: акт, остаток</t>
        </is>
      </c>
      <c r="E25" s="11" t="inlineStr">
        <is>
          <t>план</t>
        </is>
      </c>
      <c r="F25" s="12" t="inlineStr"/>
    </row>
    <row r="26" ht="28" customHeight="1">
      <c r="A26" s="10" t="inlineStr">
        <is>
          <t>W22</t>
        </is>
      </c>
      <c r="B26" s="11" t="inlineStr">
        <is>
          <t>25.05–31.05</t>
        </is>
      </c>
      <c r="C26" s="11" t="inlineStr">
        <is>
          <t>Q2</t>
        </is>
      </c>
      <c r="D26" s="12" t="inlineStr">
        <is>
          <t>Обзвон DzĪB. Новый объект в работу — держать 2 параллельно</t>
        </is>
      </c>
      <c r="E26" s="11" t="inlineStr">
        <is>
          <t>план</t>
        </is>
      </c>
      <c r="F26" s="12" t="inlineStr"/>
    </row>
    <row r="27" ht="28" customHeight="1">
      <c r="A27" s="10" t="inlineStr">
        <is>
          <t>W23</t>
        </is>
      </c>
      <c r="B27" s="11" t="inlineStr">
        <is>
          <t>01.06–07.06</t>
        </is>
      </c>
      <c r="C27" s="11" t="inlineStr">
        <is>
          <t>Q2</t>
        </is>
      </c>
      <c r="D27" s="12" t="inlineStr">
        <is>
          <t>Обзвон DzĪB. Ревизия цен в справочнике работ по фактическим затратам</t>
        </is>
      </c>
      <c r="E27" s="11" t="inlineStr">
        <is>
          <t>план</t>
        </is>
      </c>
      <c r="F27" s="12" t="inlineStr"/>
    </row>
    <row r="28" ht="28" customHeight="1">
      <c r="A28" s="10" t="inlineStr">
        <is>
          <t>W24</t>
        </is>
      </c>
      <c r="B28" s="11" t="inlineStr">
        <is>
          <t>08.06–14.06</t>
        </is>
      </c>
      <c r="C28" s="11" t="inlineStr">
        <is>
          <t>Q2</t>
        </is>
      </c>
      <c r="D28" s="12" t="inlineStr">
        <is>
          <t>Обзвон DzĪB. Сдача объекта. Фото и отзывы — в портфолио</t>
        </is>
      </c>
      <c r="E28" s="11" t="inlineStr">
        <is>
          <t>план</t>
        </is>
      </c>
      <c r="F28" s="12" t="inlineStr"/>
    </row>
    <row r="29" ht="28" customHeight="1">
      <c r="A29" s="10" t="inlineStr">
        <is>
          <t>W25</t>
        </is>
      </c>
      <c r="B29" s="11" t="inlineStr">
        <is>
          <t>15.06–21.06</t>
        </is>
      </c>
      <c r="C29" s="11" t="inlineStr">
        <is>
          <t>Q2</t>
        </is>
      </c>
      <c r="D29" s="12" t="inlineStr">
        <is>
          <t>Обзвон DzĪB. Воронка: конверсия звонков в сметы и договоры — посчитать</t>
        </is>
      </c>
      <c r="E29" s="11" t="inlineStr">
        <is>
          <t>план</t>
        </is>
      </c>
      <c r="F29" s="12" t="inlineStr"/>
    </row>
    <row r="30" ht="28" customHeight="1">
      <c r="A30" s="10" t="inlineStr">
        <is>
          <t>W26</t>
        </is>
      </c>
      <c r="B30" s="11" t="inlineStr">
        <is>
          <t>22.06–28.06</t>
        </is>
      </c>
      <c r="C30" s="11" t="inlineStr">
        <is>
          <t>Q2</t>
        </is>
      </c>
      <c r="D30" s="12" t="inlineStr">
        <is>
          <t>Итоги Q2: финитог, метрики, план Q3. Летний график бригады</t>
        </is>
      </c>
      <c r="E30" s="11" t="inlineStr">
        <is>
          <t>план</t>
        </is>
      </c>
      <c r="F30" s="12" t="inlineStr"/>
    </row>
    <row r="31" ht="28" customHeight="1">
      <c r="A31" s="13" t="inlineStr">
        <is>
          <t>W27</t>
        </is>
      </c>
      <c r="B31" s="14" t="inlineStr">
        <is>
          <t>29.06–05.07</t>
        </is>
      </c>
      <c r="C31" s="14" t="inlineStr">
        <is>
          <t>Q3</t>
        </is>
      </c>
      <c r="D31" s="15" t="inlineStr">
        <is>
          <t>Объявления и поиск мастеров во вторую бригаду. Обзвон DzĪB продолжается</t>
        </is>
      </c>
      <c r="E31" s="14" t="inlineStr">
        <is>
          <t>план</t>
        </is>
      </c>
      <c r="F31" s="15" t="inlineStr"/>
    </row>
    <row r="32" ht="28" customHeight="1">
      <c r="A32" s="13" t="inlineStr">
        <is>
          <t>W28</t>
        </is>
      </c>
      <c r="B32" s="14" t="inlineStr">
        <is>
          <t>06.07–12.07</t>
        </is>
      </c>
      <c r="C32" s="14" t="inlineStr">
        <is>
          <t>Q3</t>
        </is>
      </c>
      <c r="D32" s="15" t="inlineStr">
        <is>
          <t>Собеседования во 2-ю бригаду. Из обзвона целиться в крупные заявки (15–40 тыс €)</t>
        </is>
      </c>
      <c r="E32" s="14" t="inlineStr">
        <is>
          <t>план</t>
        </is>
      </c>
      <c r="F32" s="15" t="inlineStr"/>
    </row>
    <row r="33" ht="28" customHeight="1">
      <c r="A33" s="13" t="inlineStr">
        <is>
          <t>W29</t>
        </is>
      </c>
      <c r="B33" s="14" t="inlineStr">
        <is>
          <t>13.07–19.07</t>
        </is>
      </c>
      <c r="C33" s="14" t="inlineStr">
        <is>
          <t>Q3</t>
        </is>
      </c>
      <c r="D33" s="15" t="inlineStr">
        <is>
          <t>Тест кандидатов 2-й бригады на текущем объекте</t>
        </is>
      </c>
      <c r="E33" s="14" t="inlineStr">
        <is>
          <t>план</t>
        </is>
      </c>
      <c r="F33" s="15" t="inlineStr"/>
    </row>
    <row r="34" ht="28" customHeight="1">
      <c r="A34" s="13" t="inlineStr">
        <is>
          <t>W30</t>
        </is>
      </c>
      <c r="B34" s="14" t="inlineStr">
        <is>
          <t>20.07–26.07</t>
        </is>
      </c>
      <c r="C34" s="14" t="inlineStr">
        <is>
          <t>Q3</t>
        </is>
      </c>
      <c r="D34" s="15" t="inlineStr">
        <is>
          <t>Оформить вторую бригаду. Смета на первый крупный объект</t>
        </is>
      </c>
      <c r="E34" s="14" t="inlineStr">
        <is>
          <t>план</t>
        </is>
      </c>
      <c r="F34" s="15" t="inlineStr"/>
    </row>
    <row r="35" ht="28" customHeight="1">
      <c r="A35" s="13" t="inlineStr">
        <is>
          <t>W31</t>
        </is>
      </c>
      <c r="B35" s="14" t="inlineStr">
        <is>
          <t>27.07–02.08</t>
        </is>
      </c>
      <c r="C35" s="14" t="inlineStr">
        <is>
          <t>Q3</t>
        </is>
      </c>
      <c r="D35" s="15" t="inlineStr">
        <is>
          <t>Крупный объект: переговоры, договор с поэтапной оплатой, аванс</t>
        </is>
      </c>
      <c r="E35" s="14" t="inlineStr">
        <is>
          <t>план</t>
        </is>
      </c>
      <c r="F35" s="15" t="inlineStr"/>
    </row>
    <row r="36" ht="28" customHeight="1">
      <c r="A36" s="13" t="inlineStr">
        <is>
          <t>W32</t>
        </is>
      </c>
      <c r="B36" s="14" t="inlineStr">
        <is>
          <t>03.08–09.08</t>
        </is>
      </c>
      <c r="C36" s="14" t="inlineStr">
        <is>
          <t>Q3</t>
        </is>
      </c>
      <c r="D36" s="15" t="inlineStr">
        <is>
          <t>Старт крупного объекта (силами 1-й и 2-й бригад). График работ по этапам</t>
        </is>
      </c>
      <c r="E36" s="14" t="inlineStr">
        <is>
          <t>план</t>
        </is>
      </c>
      <c r="F36" s="15" t="inlineStr"/>
    </row>
    <row r="37" ht="28" customHeight="1">
      <c r="A37" s="13" t="inlineStr">
        <is>
          <t>W33</t>
        </is>
      </c>
      <c r="B37" s="14" t="inlineStr">
        <is>
          <t>10.08–16.08</t>
        </is>
      </c>
      <c r="C37" s="14" t="inlineStr">
        <is>
          <t>Q3</t>
        </is>
      </c>
      <c r="D37" s="15" t="inlineStr">
        <is>
          <t>Крупный объект: контроль, закупки. Начать профиль прораба: роль и зона ответственности</t>
        </is>
      </c>
      <c r="E37" s="14" t="inlineStr">
        <is>
          <t>план</t>
        </is>
      </c>
      <c r="F37" s="15" t="inlineStr"/>
    </row>
    <row r="38" ht="28" customHeight="1">
      <c r="A38" s="13" t="inlineStr">
        <is>
          <t>W34</t>
        </is>
      </c>
      <c r="B38" s="14" t="inlineStr">
        <is>
          <t>17.08–23.08</t>
        </is>
      </c>
      <c r="C38" s="14" t="inlineStr">
        <is>
          <t>Q3</t>
        </is>
      </c>
      <c r="D38" s="15" t="inlineStr">
        <is>
          <t>Крупный объект: промежуточный акт этапа. Мелкие объекты параллельно</t>
        </is>
      </c>
      <c r="E38" s="14" t="inlineStr">
        <is>
          <t>план</t>
        </is>
      </c>
      <c r="F38" s="15" t="inlineStr"/>
    </row>
    <row r="39" ht="28" customHeight="1">
      <c r="A39" s="13" t="inlineStr">
        <is>
          <t>W35</t>
        </is>
      </c>
      <c r="B39" s="14" t="inlineStr">
        <is>
          <t>24.08–30.08</t>
        </is>
      </c>
      <c r="C39" s="14" t="inlineStr">
        <is>
          <t>Q3</t>
        </is>
      </c>
      <c r="D39" s="15" t="inlineStr">
        <is>
          <t>Крупный объект: работы. Черновик требований и вакансии прораба</t>
        </is>
      </c>
      <c r="E39" s="14" t="inlineStr">
        <is>
          <t>план</t>
        </is>
      </c>
      <c r="F39" s="15" t="inlineStr"/>
    </row>
    <row r="40" ht="28" customHeight="1">
      <c r="A40" s="13" t="inlineStr">
        <is>
          <t>W36</t>
        </is>
      </c>
      <c r="B40" s="14" t="inlineStr">
        <is>
          <t>31.08–06.09</t>
        </is>
      </c>
      <c r="C40" s="14" t="inlineStr">
        <is>
          <t>Q3</t>
        </is>
      </c>
      <c r="D40" s="15" t="inlineStr">
        <is>
          <t>Крупный объект: финальный этап, подготовка к сдаче</t>
        </is>
      </c>
      <c r="E40" s="14" t="inlineStr">
        <is>
          <t>план</t>
        </is>
      </c>
      <c r="F40" s="15" t="inlineStr"/>
    </row>
    <row r="41" ht="28" customHeight="1">
      <c r="A41" s="13" t="inlineStr">
        <is>
          <t>W37</t>
        </is>
      </c>
      <c r="B41" s="14" t="inlineStr">
        <is>
          <t>07.09–13.09</t>
        </is>
      </c>
      <c r="C41" s="14" t="inlineStr">
        <is>
          <t>Q3</t>
        </is>
      </c>
      <c r="D41" s="15" t="inlineStr">
        <is>
          <t>Сдача крупного объекта: акт, остаток. Кейс в портфолио</t>
        </is>
      </c>
      <c r="E41" s="14" t="inlineStr">
        <is>
          <t>план</t>
        </is>
      </c>
      <c r="F41" s="15" t="inlineStr"/>
    </row>
    <row r="42" ht="28" customHeight="1">
      <c r="A42" s="13" t="inlineStr">
        <is>
          <t>W38</t>
        </is>
      </c>
      <c r="B42" s="14" t="inlineStr">
        <is>
          <t>14.09–20.09</t>
        </is>
      </c>
      <c r="C42" s="14" t="inlineStr">
        <is>
          <t>Q3</t>
        </is>
      </c>
      <c r="D42" s="15" t="inlineStr">
        <is>
          <t>Разбор крупного объекта: маржа, ошибки, что автоматизировать. Обновить процессы</t>
        </is>
      </c>
      <c r="E42" s="14" t="inlineStr">
        <is>
          <t>план</t>
        </is>
      </c>
      <c r="F42" s="15" t="inlineStr"/>
    </row>
    <row r="43" ht="28" customHeight="1">
      <c r="A43" s="13" t="inlineStr">
        <is>
          <t>W39</t>
        </is>
      </c>
      <c r="B43" s="14" t="inlineStr">
        <is>
          <t>21.09–27.09</t>
        </is>
      </c>
      <c r="C43" s="14" t="inlineStr">
        <is>
          <t>Q3</t>
        </is>
      </c>
      <c r="D43" s="15" t="inlineStr">
        <is>
          <t>Итоги Q3: финитог, метрики, план Q4</t>
        </is>
      </c>
      <c r="E43" s="14" t="inlineStr">
        <is>
          <t>план</t>
        </is>
      </c>
      <c r="F43" s="15" t="inlineStr"/>
    </row>
    <row r="44" ht="28" customHeight="1">
      <c r="A44" s="16" t="inlineStr">
        <is>
          <t>W40</t>
        </is>
      </c>
      <c r="B44" s="17" t="inlineStr">
        <is>
          <t>28.09–04.10</t>
        </is>
      </c>
      <c r="C44" s="17" t="inlineStr">
        <is>
          <t>Q4</t>
        </is>
      </c>
      <c r="D44" s="18" t="inlineStr">
        <is>
          <t>Поиск мастеров в третью бригаду. Обзвон: набрать заявки на осень-зиму</t>
        </is>
      </c>
      <c r="E44" s="17" t="inlineStr">
        <is>
          <t>план</t>
        </is>
      </c>
      <c r="F44" s="18" t="inlineStr"/>
    </row>
    <row r="45" ht="28" customHeight="1">
      <c r="A45" s="16" t="inlineStr">
        <is>
          <t>W41</t>
        </is>
      </c>
      <c r="B45" s="17" t="inlineStr">
        <is>
          <t>05.10–11.10</t>
        </is>
      </c>
      <c r="C45" s="17" t="inlineStr">
        <is>
          <t>Q4</t>
        </is>
      </c>
      <c r="D45" s="18" t="inlineStr">
        <is>
          <t>Собеседования в 3-ю бригаду. Загрузка: держать 2–3 объекта</t>
        </is>
      </c>
      <c r="E45" s="17" t="inlineStr">
        <is>
          <t>план</t>
        </is>
      </c>
      <c r="F45" s="18" t="inlineStr"/>
    </row>
    <row r="46" ht="28" customHeight="1">
      <c r="A46" s="16" t="inlineStr">
        <is>
          <t>W42</t>
        </is>
      </c>
      <c r="B46" s="17" t="inlineStr">
        <is>
          <t>12.10–18.10</t>
        </is>
      </c>
      <c r="C46" s="17" t="inlineStr">
        <is>
          <t>Q4</t>
        </is>
      </c>
      <c r="D46" s="18" t="inlineStr">
        <is>
          <t>Тест 3-й бригады на объекте</t>
        </is>
      </c>
      <c r="E46" s="17" t="inlineStr">
        <is>
          <t>план</t>
        </is>
      </c>
      <c r="F46" s="18" t="inlineStr"/>
    </row>
    <row r="47" ht="28" customHeight="1">
      <c r="A47" s="16" t="inlineStr">
        <is>
          <t>W43</t>
        </is>
      </c>
      <c r="B47" s="17" t="inlineStr">
        <is>
          <t>19.10–25.10</t>
        </is>
      </c>
      <c r="C47" s="17" t="inlineStr">
        <is>
          <t>Q4</t>
        </is>
      </c>
      <c r="D47" s="18" t="inlineStr">
        <is>
          <t>Оформить третью бригаду. Распределение объектов по бригадам</t>
        </is>
      </c>
      <c r="E47" s="17" t="inlineStr">
        <is>
          <t>план</t>
        </is>
      </c>
      <c r="F47" s="18" t="inlineStr"/>
    </row>
    <row r="48" ht="28" customHeight="1">
      <c r="A48" s="16" t="inlineStr">
        <is>
          <t>W44</t>
        </is>
      </c>
      <c r="B48" s="17" t="inlineStr">
        <is>
          <t>26.10–01.11</t>
        </is>
      </c>
      <c r="C48" s="17" t="inlineStr">
        <is>
          <t>Q4</t>
        </is>
      </c>
      <c r="D48" s="18" t="inlineStr">
        <is>
          <t>3 объекта параллельно: контроль, планёрки раз в неделю</t>
        </is>
      </c>
      <c r="E48" s="17" t="inlineStr">
        <is>
          <t>план</t>
        </is>
      </c>
      <c r="F48" s="18" t="inlineStr"/>
    </row>
    <row r="49" ht="28" customHeight="1">
      <c r="A49" s="16" t="inlineStr">
        <is>
          <t>W45</t>
        </is>
      </c>
      <c r="B49" s="17" t="inlineStr">
        <is>
          <t>02.11–08.11</t>
        </is>
      </c>
      <c r="C49" s="17" t="inlineStr">
        <is>
          <t>Q4</t>
        </is>
      </c>
      <c r="D49" s="18" t="inlineStr">
        <is>
          <t>3 объекта параллельно. Финконтроль по каждому объекту (finances_2026)</t>
        </is>
      </c>
      <c r="E49" s="17" t="inlineStr">
        <is>
          <t>план</t>
        </is>
      </c>
      <c r="F49" s="18" t="inlineStr"/>
    </row>
    <row r="50" ht="28" customHeight="1">
      <c r="A50" s="16" t="inlineStr">
        <is>
          <t>W46</t>
        </is>
      </c>
      <c r="B50" s="17" t="inlineStr">
        <is>
          <t>09.11–15.11</t>
        </is>
      </c>
      <c r="C50" s="17" t="inlineStr">
        <is>
          <t>Q4</t>
        </is>
      </c>
      <c r="D50" s="18" t="inlineStr">
        <is>
          <t>Сдачи объектов. Новые договоры на зиму</t>
        </is>
      </c>
      <c r="E50" s="17" t="inlineStr">
        <is>
          <t>план</t>
        </is>
      </c>
      <c r="F50" s="18" t="inlineStr"/>
    </row>
    <row r="51" ht="28" customHeight="1">
      <c r="A51" s="16" t="inlineStr">
        <is>
          <t>W47</t>
        </is>
      </c>
      <c r="B51" s="17" t="inlineStr">
        <is>
          <t>16.11–22.11</t>
        </is>
      </c>
      <c r="C51" s="17" t="inlineStr">
        <is>
          <t>Q4</t>
        </is>
      </c>
      <c r="D51" s="18" t="inlineStr">
        <is>
          <t>Экономика найма прораба: посчитать нагрузку, ФОТ, точку окупаемости</t>
        </is>
      </c>
      <c r="E51" s="17" t="inlineStr">
        <is>
          <t>план</t>
        </is>
      </c>
      <c r="F51" s="18" t="inlineStr"/>
    </row>
    <row r="52" ht="28" customHeight="1">
      <c r="A52" s="16" t="inlineStr">
        <is>
          <t>W48</t>
        </is>
      </c>
      <c r="B52" s="17" t="inlineStr">
        <is>
          <t>23.11–29.11</t>
        </is>
      </c>
      <c r="C52" s="17" t="inlineStr">
        <is>
          <t>Q4</t>
        </is>
      </c>
      <c r="D52" s="18" t="inlineStr">
        <is>
          <t>Решение по прорабу. Если да — публикация вакансии, первые собеседования</t>
        </is>
      </c>
      <c r="E52" s="17" t="inlineStr">
        <is>
          <t>план</t>
        </is>
      </c>
      <c r="F52" s="18" t="inlineStr"/>
    </row>
    <row r="53" ht="28" customHeight="1">
      <c r="A53" s="16" t="inlineStr">
        <is>
          <t>W49</t>
        </is>
      </c>
      <c r="B53" s="17" t="inlineStr">
        <is>
          <t>30.11–06.12</t>
        </is>
      </c>
      <c r="C53" s="17" t="inlineStr">
        <is>
          <t>Q4</t>
        </is>
      </c>
      <c r="D53" s="18" t="inlineStr">
        <is>
          <t>Объекты в работе. Предварительный годовой финитог</t>
        </is>
      </c>
      <c r="E53" s="17" t="inlineStr">
        <is>
          <t>план</t>
        </is>
      </c>
      <c r="F53" s="18" t="inlineStr"/>
    </row>
    <row r="54" ht="28" customHeight="1">
      <c r="A54" s="16" t="inlineStr">
        <is>
          <t>W50</t>
        </is>
      </c>
      <c r="B54" s="17" t="inlineStr">
        <is>
          <t>07.12–13.12</t>
        </is>
      </c>
      <c r="C54" s="17" t="inlineStr">
        <is>
          <t>Q4</t>
        </is>
      </c>
      <c r="D54" s="18" t="inlineStr">
        <is>
          <t>Закрытие объектов года. Дебиторка: собрать все остатки оплат</t>
        </is>
      </c>
      <c r="E54" s="17" t="inlineStr">
        <is>
          <t>план</t>
        </is>
      </c>
      <c r="F54" s="18" t="inlineStr"/>
    </row>
    <row r="55" ht="28" customHeight="1">
      <c r="A55" s="16" t="inlineStr">
        <is>
          <t>W51</t>
        </is>
      </c>
      <c r="B55" s="17" t="inlineStr">
        <is>
          <t>14.12–20.12</t>
        </is>
      </c>
      <c r="C55" s="17" t="inlineStr">
        <is>
          <t>Q4</t>
        </is>
      </c>
      <c r="D55" s="18" t="inlineStr">
        <is>
          <t>Годовой финитог: оборот / прибыль / маржа по finances_2026. Выводы по системе</t>
        </is>
      </c>
      <c r="E55" s="17" t="inlineStr">
        <is>
          <t>план</t>
        </is>
      </c>
      <c r="F55" s="18" t="inlineStr"/>
    </row>
    <row r="56" ht="28" customHeight="1">
      <c r="A56" s="16" t="inlineStr">
        <is>
          <t>W52</t>
        </is>
      </c>
      <c r="B56" s="17" t="inlineStr">
        <is>
          <t>21.12–27.12</t>
        </is>
      </c>
      <c r="C56" s="17" t="inlineStr">
        <is>
          <t>Q4</t>
        </is>
      </c>
      <c r="D56" s="18" t="inlineStr">
        <is>
          <t>План 2027 (фаза 2). Отдых</t>
        </is>
      </c>
      <c r="E56" s="17" t="inlineStr">
        <is>
          <t>план</t>
        </is>
      </c>
      <c r="F56" s="18" t="inlineStr"/>
    </row>
    <row r="57" ht="28" customHeight="1">
      <c r="A57" s="16" t="inlineStr">
        <is>
          <t>W53</t>
        </is>
      </c>
      <c r="B57" s="17" t="inlineStr">
        <is>
          <t>28.12–03.01</t>
        </is>
      </c>
      <c r="C57" s="17" t="inlineStr">
        <is>
          <t>Q4</t>
        </is>
      </c>
      <c r="D57" s="18" t="inlineStr">
        <is>
          <t>Резервная неделя: перенос незакрытых задач, праздники</t>
        </is>
      </c>
      <c r="E57" s="17" t="inlineStr">
        <is>
          <t>план</t>
        </is>
      </c>
      <c r="F57" s="18" t="inlineStr"/>
    </row>
  </sheetData>
  <conditionalFormatting sqref="E5:E57">
    <cfRule type="cellIs" priority="1" operator="equal" dxfId="0">
      <formula>"сделано"</formula>
    </cfRule>
    <cfRule type="cellIs" priority="2" operator="equal" dxfId="0">
      <formula>"выполнен"</formula>
    </cfRule>
    <cfRule type="cellIs" priority="3" operator="equal" dxfId="1">
      <formula>"в работе"</formula>
    </cfRule>
    <cfRule type="cellIs" priority="4" operator="equal" dxfId="1">
      <formula>"частично"</formula>
    </cfRule>
    <cfRule type="cellIs" priority="5" operator="equal" dxfId="2">
      <formula>"перенесено"</formula>
    </cfRule>
  </conditionalFormatting>
  <dataValidations count="1">
    <dataValidation sqref="E5:E57" showDropDown="0" showInputMessage="0" showErrorMessage="0" allowBlank="1" type="list">
      <formula1>"план,в работе,сделано,перенесено"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Метрики 2026: план / факт</t>
        </is>
      </c>
    </row>
    <row r="2">
      <c r="A2" s="2" t="inlineStr">
        <is>
          <t>Фаза 1. Цель 2026: 60–120 тыс € оборота, 3 бригады, работающая система. Факт заполняй из finances_2026.xlsx в конце квартала.</t>
        </is>
      </c>
    </row>
    <row r="4" ht="18" customHeight="1">
      <c r="A4" s="3" t="inlineStr">
        <is>
          <t>Показатель</t>
        </is>
      </c>
      <c r="B4" s="3" t="inlineStr">
        <is>
          <t>Q1</t>
        </is>
      </c>
      <c r="C4" s="3" t="inlineStr">
        <is>
          <t>Q2</t>
        </is>
      </c>
      <c r="D4" s="3" t="inlineStr">
        <is>
          <t>Q3</t>
        </is>
      </c>
      <c r="E4" s="3" t="inlineStr">
        <is>
          <t>Q4</t>
        </is>
      </c>
      <c r="F4" s="3" t="inlineStr">
        <is>
          <t>Год</t>
        </is>
      </c>
    </row>
    <row r="5" ht="16" customHeight="1">
      <c r="A5" s="19" t="inlineStr">
        <is>
          <t>Оборот — план, €</t>
        </is>
      </c>
      <c r="B5" s="20" t="n">
        <v>10000</v>
      </c>
      <c r="C5" s="20" t="n">
        <v>18000</v>
      </c>
      <c r="D5" s="20" t="n">
        <v>30000</v>
      </c>
      <c r="E5" s="20" t="n">
        <v>32000</v>
      </c>
      <c r="F5" s="21">
        <f>SUM(B5:E5)</f>
        <v/>
      </c>
    </row>
    <row r="6" ht="16" customHeight="1">
      <c r="A6" s="22" t="inlineStr">
        <is>
          <t>Оборот — факт, €</t>
        </is>
      </c>
      <c r="B6" s="20" t="n"/>
      <c r="C6" s="20" t="n"/>
      <c r="D6" s="20" t="n"/>
      <c r="E6" s="20" t="n"/>
      <c r="F6" s="21">
        <f>SUM(B6:E6)</f>
        <v/>
      </c>
    </row>
    <row r="7" ht="16" customHeight="1">
      <c r="A7" s="22" t="inlineStr">
        <is>
          <t>Выполнение оборота, %</t>
        </is>
      </c>
      <c r="B7" s="23">
        <f>IF(OR(B5=0,B6=""),"",B6/B5)</f>
        <v/>
      </c>
      <c r="C7" s="23">
        <f>IF(OR(C5=0,C6=""),"",C6/C5)</f>
        <v/>
      </c>
      <c r="D7" s="23">
        <f>IF(OR(D5=0,D6=""),"",D6/D5)</f>
        <v/>
      </c>
      <c r="E7" s="23">
        <f>IF(OR(E5=0,E6=""),"",E6/E5)</f>
        <v/>
      </c>
      <c r="F7" s="24">
        <f>IF(OR(F5=0,F6=""),"",F6/F5)</f>
        <v/>
      </c>
    </row>
    <row r="8" ht="16" customHeight="1">
      <c r="A8" s="19" t="inlineStr">
        <is>
          <t>Объекты — план, шт.</t>
        </is>
      </c>
      <c r="B8" s="25" t="n">
        <v>3</v>
      </c>
      <c r="C8" s="25" t="n">
        <v>4</v>
      </c>
      <c r="D8" s="25" t="n">
        <v>4</v>
      </c>
      <c r="E8" s="25" t="n">
        <v>5</v>
      </c>
      <c r="F8" s="26">
        <f>SUM(B8:E8)</f>
        <v/>
      </c>
    </row>
    <row r="9" ht="16" customHeight="1">
      <c r="A9" s="22" t="inlineStr">
        <is>
          <t>Объекты — факт, шт.</t>
        </is>
      </c>
      <c r="B9" s="25" t="n"/>
      <c r="C9" s="25" t="n"/>
      <c r="D9" s="25" t="n"/>
      <c r="E9" s="25" t="n"/>
      <c r="F9" s="26">
        <f>SUM(B9:E9)</f>
        <v/>
      </c>
    </row>
    <row r="10" ht="16" customHeight="1">
      <c r="A10" s="19" t="inlineStr">
        <is>
          <t>Бригады — план (на конец кв.)</t>
        </is>
      </c>
      <c r="B10" s="25" t="n">
        <v>0</v>
      </c>
      <c r="C10" s="25" t="n">
        <v>1</v>
      </c>
      <c r="D10" s="25" t="n">
        <v>2</v>
      </c>
      <c r="E10" s="25" t="n">
        <v>3</v>
      </c>
      <c r="F10" s="26">
        <f>IF(COUNT(B10:E10)=0,"",MAX(B10:E10))</f>
        <v/>
      </c>
    </row>
    <row r="11" ht="16" customHeight="1">
      <c r="A11" s="22" t="inlineStr">
        <is>
          <t>Бригады — факт</t>
        </is>
      </c>
      <c r="B11" s="25" t="n"/>
      <c r="C11" s="25" t="n"/>
      <c r="D11" s="25" t="n"/>
      <c r="E11" s="25" t="n"/>
      <c r="F11" s="26">
        <f>IF(COUNT(B11:E11)=0,"",MAX(B11:E11))</f>
        <v/>
      </c>
    </row>
    <row r="13">
      <c r="A13" s="2" t="inlineStr">
        <is>
          <t>Вилка цели по обороту: 60 000 – 120 000 €. План выше (90 000 €) — середина вилки.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2026-07-08T16:23:07Z</dcterms:created>
  <dcterms:modified xsi:type="dcterms:W3CDTF">2026-07-08T16:23:07Z</dcterms:modified>
</cp:coreProperties>
</file>