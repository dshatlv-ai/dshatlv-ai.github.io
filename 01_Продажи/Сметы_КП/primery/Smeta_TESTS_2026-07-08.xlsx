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āme (pasūtītājam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9"/>
    </font>
    <font>
      <name val="Arial"/>
      <b val="1"/>
      <sz val="9"/>
    </font>
    <font>
      <name val="Arial"/>
      <i val="1"/>
      <sz val="9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2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" fillId="2" borderId="1" applyAlignment="1" pivotButton="0" quotePrefix="0" xfId="0">
      <alignment horizontal="right" vertical="center"/>
    </xf>
    <xf numFmtId="2" fontId="6" fillId="2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10" customWidth="1" min="4" max="4"/>
    <col width="13" customWidth="1" min="5" max="5"/>
    <col width="14" customWidth="1" min="6" max="6"/>
    <col width="24" customWidth="1" min="7" max="7"/>
  </cols>
  <sheetData>
    <row r="1" ht="19.5" customHeight="1">
      <c r="A1" s="1" t="inlineStr">
        <is>
          <t>Lokālā tāme</t>
        </is>
      </c>
    </row>
    <row r="2" ht="18" customHeight="1">
      <c r="A2" s="2" t="inlineStr">
        <is>
          <t>Remontdarbi — testa objekts</t>
        </is>
      </c>
    </row>
    <row r="3" ht="15" customHeight="1">
      <c r="A3" s="3" t="inlineStr">
        <is>
          <t>Izpildītājs: Daniils Šatalovs (saimnieciskās darbības veicējs)</t>
        </is>
      </c>
    </row>
    <row r="4" ht="15" customHeight="1">
      <c r="A4" s="3" t="inlineStr">
        <is>
          <t>Pasūtītājs: DzīB "Vārnu iela 8, 8A, 8B, 8C", reģ. Nr. 40008318408</t>
        </is>
      </c>
    </row>
    <row r="5" ht="15" customHeight="1">
      <c r="A5" s="3" t="inlineStr">
        <is>
          <t>Objekta adrese: Testa iela 1, Rīga</t>
        </is>
      </c>
    </row>
    <row r="6" ht="15" customHeight="1">
      <c r="A6" s="3" t="inlineStr">
        <is>
          <t>Tāme sastādīta: 08.07.2026</t>
        </is>
      </c>
    </row>
    <row r="7" ht="30" customHeight="1">
      <c r="A7" s="4" t="inlineStr">
        <is>
          <t>Nr.</t>
        </is>
      </c>
      <c r="B7" s="4" t="inlineStr">
        <is>
          <t>Darbu / materiālu nosaukums</t>
        </is>
      </c>
      <c r="C7" s="4" t="inlineStr">
        <is>
          <t>Mērvienība</t>
        </is>
      </c>
      <c r="D7" s="4" t="inlineStr">
        <is>
          <t>Daudzums</t>
        </is>
      </c>
      <c r="E7" s="4" t="inlineStr">
        <is>
          <t>Cena par vienību, EUR</t>
        </is>
      </c>
      <c r="F7" s="4" t="inlineStr">
        <is>
          <t>Summa, EUR</t>
        </is>
      </c>
      <c r="G7" s="4" t="inlineStr">
        <is>
          <t>Piezīmes</t>
        </is>
      </c>
    </row>
    <row r="8" ht="21.75" customHeight="1">
      <c r="A8" s="5" t="inlineStr">
        <is>
          <t>1. GRĪDA UN KĀPNES — remontdarbi</t>
        </is>
      </c>
      <c r="B8" s="6" t="n"/>
      <c r="C8" s="6" t="n"/>
      <c r="D8" s="6" t="n"/>
      <c r="E8" s="6" t="n"/>
      <c r="F8" s="6" t="n"/>
      <c r="G8" s="6" t="n"/>
    </row>
    <row r="9" ht="21.75" customHeight="1">
      <c r="A9" s="7" t="inlineStr">
        <is>
          <t>1.1</t>
        </is>
      </c>
      <c r="B9" s="8" t="inlineStr">
        <is>
          <t>Grīdas seguma demontāža, iznešana</t>
        </is>
      </c>
      <c r="C9" s="7" t="inlineStr">
        <is>
          <t>m²</t>
        </is>
      </c>
      <c r="D9" s="9" t="n">
        <v>11</v>
      </c>
      <c r="E9" s="9" t="n">
        <v>15</v>
      </c>
      <c r="F9" s="10">
        <f>D9*E9</f>
        <v/>
      </c>
      <c r="G9" s="11" t="inlineStr">
        <is>
          <t>darbs</t>
        </is>
      </c>
    </row>
    <row r="10" ht="21.75" customHeight="1">
      <c r="A10" s="7" t="inlineStr">
        <is>
          <t>1.2</t>
        </is>
      </c>
      <c r="B10" s="8" t="inlineStr">
        <is>
          <t>Grīdas klons / izlīdzinošā stiedze</t>
        </is>
      </c>
      <c r="C10" s="7" t="inlineStr">
        <is>
          <t>m²</t>
        </is>
      </c>
      <c r="D10" s="9" t="n">
        <v>11</v>
      </c>
      <c r="E10" s="9" t="n">
        <v>25</v>
      </c>
      <c r="F10" s="10">
        <f>D10*E10</f>
        <v/>
      </c>
      <c r="G10" s="11" t="inlineStr">
        <is>
          <t>darbs</t>
        </is>
      </c>
    </row>
    <row r="11" ht="21.75" customHeight="1">
      <c r="A11" s="7" t="inlineStr">
        <is>
          <t>1.3</t>
        </is>
      </c>
      <c r="B11" s="8" t="inlineStr">
        <is>
          <t>Kāpņu pakāpienu flīzēšana</t>
        </is>
      </c>
      <c r="C11" s="7" t="inlineStr">
        <is>
          <t>t.m.</t>
        </is>
      </c>
      <c r="D11" s="9" t="n">
        <v>3</v>
      </c>
      <c r="E11" s="9" t="n">
        <v>60</v>
      </c>
      <c r="F11" s="10">
        <f>D11*E11</f>
        <v/>
      </c>
      <c r="G11" s="11" t="inlineStr">
        <is>
          <t>darbs</t>
        </is>
      </c>
    </row>
    <row r="12" ht="21.75" customHeight="1">
      <c r="A12" s="7" t="inlineStr">
        <is>
          <t>1.4</t>
        </is>
      </c>
      <c r="B12" s="8" t="inlineStr">
        <is>
          <t>Sienu krāsošana (2 kārtās)</t>
        </is>
      </c>
      <c r="C12" s="7" t="inlineStr">
        <is>
          <t>m²</t>
        </is>
      </c>
      <c r="D12" s="9" t="n">
        <v>20</v>
      </c>
      <c r="E12" s="9" t="n">
        <v>12</v>
      </c>
      <c r="F12" s="10">
        <f>D12*E12</f>
        <v/>
      </c>
      <c r="G12" s="11" t="inlineStr">
        <is>
          <t>darbs</t>
        </is>
      </c>
    </row>
    <row r="13" ht="21.75" customHeight="1">
      <c r="A13" s="12" t="inlineStr">
        <is>
          <t>Kopā sadaļā:</t>
        </is>
      </c>
      <c r="B13" s="13" t="n"/>
      <c r="C13" s="13" t="n"/>
      <c r="D13" s="13" t="n"/>
      <c r="E13" s="14" t="n"/>
      <c r="F13" s="15">
        <f>SUM(F9:F12)</f>
        <v/>
      </c>
      <c r="G13" s="16" t="n"/>
    </row>
    <row r="15" ht="21.75" customHeight="1">
      <c r="A15" s="5" t="inlineStr">
        <is>
          <t>2. BŪVGRUŽI UN TRANSPORTS</t>
        </is>
      </c>
      <c r="B15" s="6" t="n"/>
      <c r="C15" s="6" t="n"/>
      <c r="D15" s="6" t="n"/>
      <c r="E15" s="6" t="n"/>
      <c r="F15" s="6" t="n"/>
      <c r="G15" s="6" t="n"/>
    </row>
    <row r="16" ht="21.75" customHeight="1">
      <c r="A16" s="7" t="inlineStr">
        <is>
          <t>2.1</t>
        </is>
      </c>
      <c r="B16" s="8" t="inlineStr">
        <is>
          <t>Būvgružu savākšana un iznešana</t>
        </is>
      </c>
      <c r="C16" s="7" t="inlineStr">
        <is>
          <t>kompl.</t>
        </is>
      </c>
      <c r="D16" s="9" t="n">
        <v>1</v>
      </c>
      <c r="E16" s="9" t="n">
        <v>180</v>
      </c>
      <c r="F16" s="10">
        <f>D16*E16</f>
        <v/>
      </c>
      <c r="G16" s="11" t="inlineStr">
        <is>
          <t>darbs</t>
        </is>
      </c>
    </row>
    <row r="17" ht="21.75" customHeight="1">
      <c r="A17" s="7" t="inlineStr">
        <is>
          <t>2.2</t>
        </is>
      </c>
      <c r="B17" s="8" t="inlineStr">
        <is>
          <t>Konteinera noma un izvešana poligonā</t>
        </is>
      </c>
      <c r="C17" s="7" t="inlineStr">
        <is>
          <t>reize</t>
        </is>
      </c>
      <c r="D17" s="9" t="n">
        <v>1</v>
      </c>
      <c r="E17" s="9" t="n">
        <v>295</v>
      </c>
      <c r="F17" s="10">
        <f>D17*E17</f>
        <v/>
      </c>
      <c r="G17" s="11" t="inlineStr">
        <is>
          <t>utilizācija</t>
        </is>
      </c>
    </row>
    <row r="18" ht="21.75" customHeight="1">
      <c r="A18" s="7" t="inlineStr">
        <is>
          <t>2.3</t>
        </is>
      </c>
      <c r="B18" s="8" t="inlineStr">
        <is>
          <t>Materiālu piegāde, transports</t>
        </is>
      </c>
      <c r="C18" s="7" t="inlineStr">
        <is>
          <t>kompl.</t>
        </is>
      </c>
      <c r="D18" s="9" t="n">
        <v>1</v>
      </c>
      <c r="E18" s="9" t="n">
        <v>150</v>
      </c>
      <c r="F18" s="10">
        <f>D18*E18</f>
        <v/>
      </c>
      <c r="G18" s="11" t="inlineStr">
        <is>
          <t>transports</t>
        </is>
      </c>
    </row>
    <row r="19" ht="21.75" customHeight="1">
      <c r="A19" s="12" t="inlineStr">
        <is>
          <t>Kopā sadaļā:</t>
        </is>
      </c>
      <c r="B19" s="13" t="n"/>
      <c r="C19" s="13" t="n"/>
      <c r="D19" s="13" t="n"/>
      <c r="E19" s="14" t="n"/>
      <c r="F19" s="15">
        <f>SUM(F16:F18)</f>
        <v/>
      </c>
      <c r="G19" s="16" t="n"/>
    </row>
    <row r="21" ht="25.5" customHeight="1">
      <c r="A21" s="17" t="inlineStr">
        <is>
          <t>KOPĀ (PVN netiek piemērots):</t>
        </is>
      </c>
      <c r="B21" s="13" t="n"/>
      <c r="C21" s="13" t="n"/>
      <c r="D21" s="13" t="n"/>
      <c r="E21" s="14" t="n"/>
      <c r="F21" s="18">
        <f>F13+F19</f>
        <v/>
      </c>
      <c r="G21" s="16" t="n"/>
    </row>
    <row r="23" ht="15" customHeight="1">
      <c r="A23" s="19" t="inlineStr">
        <is>
          <t>Piezīmes un nosacījumi:</t>
        </is>
      </c>
    </row>
    <row r="24" ht="24" customHeight="1">
      <c r="A24" s="20" t="inlineStr">
        <is>
          <t>• Cenas norādītas EUR, PVN netiek piemērots.</t>
        </is>
      </c>
    </row>
    <row r="25" ht="24" customHeight="1">
      <c r="A25" s="20" t="inlineStr">
        <is>
          <t>• SLĒPTIE DARBI: papildu defektus pēc virsmas atvēršanas apmaksā atsevišķi pēc faktiskā darbu apjoma un materiāliem.</t>
        </is>
      </c>
    </row>
    <row r="26" ht="24" customHeight="1">
      <c r="A26" s="20" t="inlineStr">
        <is>
          <t>• Apmaksa: avanss 40% pirms darbu sākuma, atlikums pēc pieņemšanas akta parakstīšanas.</t>
        </is>
      </c>
    </row>
    <row r="27" ht="24" customHeight="1">
      <c r="A27" s="20" t="inlineStr">
        <is>
          <t>• Piedāvājuma derīguma termiņš — 30 dienas no sastādīšanas datuma.</t>
        </is>
      </c>
    </row>
    <row r="29" ht="15" customHeight="1">
      <c r="A29" s="3" t="inlineStr">
        <is>
          <t>Sastādīja: ________________ Daniils Šatalovs</t>
        </is>
      </c>
      <c r="E29" s="3" t="inlineStr">
        <is>
          <t>Pieņēma: ________________</t>
        </is>
      </c>
    </row>
  </sheetData>
  <mergeCells count="17">
    <mergeCell ref="A21:E21"/>
    <mergeCell ref="A1:G1"/>
    <mergeCell ref="A27:G27"/>
    <mergeCell ref="A8:G8"/>
    <mergeCell ref="A3:G3"/>
    <mergeCell ref="A6:G6"/>
    <mergeCell ref="A4:G4"/>
    <mergeCell ref="A19:E19"/>
    <mergeCell ref="A26:G26"/>
    <mergeCell ref="A24:G24"/>
    <mergeCell ref="A2:G2"/>
    <mergeCell ref="A29:D29"/>
    <mergeCell ref="A15:G15"/>
    <mergeCell ref="A13:E13"/>
    <mergeCell ref="A25:G25"/>
    <mergeCell ref="E29:G29"/>
    <mergeCell ref="A5:G5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2026-07-08T16:10:28Z</dcterms:created>
  <dcterms:modified xsi:type="dcterms:W3CDTF">2026-07-08T16:10:28Z</dcterms:modified>
</cp:coreProperties>
</file>